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macbookpro/Downloads/"/>
    </mc:Choice>
  </mc:AlternateContent>
  <xr:revisionPtr revIDLastSave="0" documentId="13_ncr:1_{E143E720-289A-6C46-AC8A-86159CA6F8A3}" xr6:coauthVersionLast="47" xr6:coauthVersionMax="47" xr10:uidLastSave="{00000000-0000-0000-0000-000000000000}"/>
  <bookViews>
    <workbookView xWindow="0" yWindow="0" windowWidth="33600" windowHeight="21000" xr2:uid="{00000000-000D-0000-FFFF-FFFF00000000}"/>
  </bookViews>
  <sheets>
    <sheet name="Dashboard" sheetId="1" r:id="rId1"/>
    <sheet name="Summary" sheetId="2" r:id="rId2"/>
    <sheet name="Project Tracker" sheetId="3" r:id="rId3"/>
    <sheet name="Setting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8" i="1" l="1"/>
  <c r="P17" i="1"/>
  <c r="D28" i="3"/>
  <c r="I213" i="3"/>
  <c r="H213" i="3"/>
  <c r="G213" i="3"/>
  <c r="F213" i="3"/>
  <c r="E213" i="3"/>
  <c r="D213" i="3"/>
  <c r="C213" i="3"/>
  <c r="B213" i="3"/>
  <c r="A213" i="3"/>
  <c r="I212" i="3"/>
  <c r="H212" i="3"/>
  <c r="G212" i="3"/>
  <c r="F212" i="3"/>
  <c r="E212" i="3"/>
  <c r="D212" i="3"/>
  <c r="C212" i="3"/>
  <c r="B212" i="3"/>
  <c r="A212" i="3"/>
  <c r="I211" i="3"/>
  <c r="H211" i="3"/>
  <c r="G211" i="3"/>
  <c r="F211" i="3"/>
  <c r="E211" i="3"/>
  <c r="D211" i="3"/>
  <c r="C211" i="3"/>
  <c r="B211" i="3"/>
  <c r="A211" i="3"/>
  <c r="I210" i="3"/>
  <c r="H210" i="3"/>
  <c r="G210" i="3"/>
  <c r="F210" i="3"/>
  <c r="E210" i="3"/>
  <c r="D210" i="3"/>
  <c r="C210" i="3"/>
  <c r="B210" i="3"/>
  <c r="A210" i="3"/>
  <c r="I209" i="3"/>
  <c r="H209" i="3"/>
  <c r="G209" i="3"/>
  <c r="F209" i="3"/>
  <c r="E209" i="3"/>
  <c r="D209" i="3"/>
  <c r="C209" i="3"/>
  <c r="B209" i="3"/>
  <c r="A209" i="3"/>
  <c r="L208" i="3"/>
  <c r="I208" i="3"/>
  <c r="H208" i="3"/>
  <c r="G208" i="3"/>
  <c r="F208" i="3"/>
  <c r="E208" i="3"/>
  <c r="D208" i="3"/>
  <c r="C208" i="3"/>
  <c r="B208" i="3"/>
  <c r="A208" i="3"/>
  <c r="U207" i="3"/>
  <c r="T207" i="3"/>
  <c r="I207" i="3"/>
  <c r="H207" i="3"/>
  <c r="G207" i="3"/>
  <c r="F207" i="3"/>
  <c r="E207" i="3"/>
  <c r="D207" i="3"/>
  <c r="C207" i="3"/>
  <c r="B207" i="3"/>
  <c r="A207" i="3"/>
  <c r="I206" i="3"/>
  <c r="H206" i="3"/>
  <c r="G206" i="3"/>
  <c r="F206" i="3"/>
  <c r="E206" i="3"/>
  <c r="D206" i="3"/>
  <c r="C206" i="3"/>
  <c r="B206" i="3"/>
  <c r="A206" i="3"/>
  <c r="I205" i="3"/>
  <c r="H205" i="3"/>
  <c r="G205" i="3"/>
  <c r="F205" i="3"/>
  <c r="E205" i="3"/>
  <c r="D205" i="3"/>
  <c r="C205" i="3"/>
  <c r="B205" i="3"/>
  <c r="A205" i="3"/>
  <c r="I204" i="3"/>
  <c r="H204" i="3"/>
  <c r="G204" i="3"/>
  <c r="F204" i="3"/>
  <c r="E204" i="3"/>
  <c r="D204" i="3"/>
  <c r="C204" i="3"/>
  <c r="B204" i="3"/>
  <c r="A204" i="3"/>
  <c r="I203" i="3"/>
  <c r="H203" i="3"/>
  <c r="G203" i="3"/>
  <c r="F203" i="3"/>
  <c r="E203" i="3"/>
  <c r="D203" i="3"/>
  <c r="C203" i="3"/>
  <c r="B203" i="3"/>
  <c r="A203" i="3"/>
  <c r="I202" i="3"/>
  <c r="H202" i="3"/>
  <c r="G202" i="3"/>
  <c r="F202" i="3"/>
  <c r="E202" i="3"/>
  <c r="D202" i="3"/>
  <c r="C202" i="3"/>
  <c r="B202" i="3"/>
  <c r="A202" i="3"/>
  <c r="L201" i="3"/>
  <c r="I201" i="3"/>
  <c r="H201" i="3"/>
  <c r="G201" i="3"/>
  <c r="F201" i="3"/>
  <c r="E201" i="3"/>
  <c r="D201" i="3"/>
  <c r="C201" i="3"/>
  <c r="B201" i="3"/>
  <c r="A201" i="3"/>
  <c r="U200" i="3"/>
  <c r="T200" i="3"/>
  <c r="I200" i="3"/>
  <c r="H200" i="3"/>
  <c r="G200" i="3"/>
  <c r="F200" i="3"/>
  <c r="E200" i="3"/>
  <c r="D200" i="3"/>
  <c r="C200" i="3"/>
  <c r="B200" i="3"/>
  <c r="A200" i="3"/>
  <c r="I199" i="3"/>
  <c r="H199" i="3"/>
  <c r="G199" i="3"/>
  <c r="F199" i="3"/>
  <c r="E199" i="3"/>
  <c r="D199" i="3"/>
  <c r="C199" i="3"/>
  <c r="B199" i="3"/>
  <c r="A199" i="3"/>
  <c r="I198" i="3"/>
  <c r="H198" i="3"/>
  <c r="G198" i="3"/>
  <c r="F198" i="3"/>
  <c r="E198" i="3"/>
  <c r="D198" i="3"/>
  <c r="C198" i="3"/>
  <c r="B198" i="3"/>
  <c r="A198" i="3"/>
  <c r="I197" i="3"/>
  <c r="H197" i="3"/>
  <c r="G197" i="3"/>
  <c r="F197" i="3"/>
  <c r="E197" i="3"/>
  <c r="D197" i="3"/>
  <c r="C197" i="3"/>
  <c r="B197" i="3"/>
  <c r="A197" i="3"/>
  <c r="I196" i="3"/>
  <c r="H196" i="3"/>
  <c r="G196" i="3"/>
  <c r="F196" i="3"/>
  <c r="E196" i="3"/>
  <c r="D196" i="3"/>
  <c r="C196" i="3"/>
  <c r="B196" i="3"/>
  <c r="A196" i="3"/>
  <c r="I195" i="3"/>
  <c r="H195" i="3"/>
  <c r="G195" i="3"/>
  <c r="F195" i="3"/>
  <c r="E195" i="3"/>
  <c r="D195" i="3"/>
  <c r="C195" i="3"/>
  <c r="B195" i="3"/>
  <c r="A195" i="3"/>
  <c r="L194" i="3"/>
  <c r="I194" i="3"/>
  <c r="H194" i="3"/>
  <c r="G194" i="3"/>
  <c r="F194" i="3"/>
  <c r="E194" i="3"/>
  <c r="D194" i="3"/>
  <c r="C194" i="3"/>
  <c r="B194" i="3"/>
  <c r="A194" i="3"/>
  <c r="U193" i="3"/>
  <c r="T193" i="3"/>
  <c r="I193" i="3"/>
  <c r="H193" i="3"/>
  <c r="G193" i="3"/>
  <c r="F193" i="3"/>
  <c r="E193" i="3"/>
  <c r="D193" i="3"/>
  <c r="C193" i="3"/>
  <c r="B193" i="3"/>
  <c r="A193" i="3"/>
  <c r="I192" i="3"/>
  <c r="H192" i="3"/>
  <c r="G192" i="3"/>
  <c r="F192" i="3"/>
  <c r="E192" i="3"/>
  <c r="D192" i="3"/>
  <c r="C192" i="3"/>
  <c r="B192" i="3"/>
  <c r="A192" i="3"/>
  <c r="I191" i="3"/>
  <c r="H191" i="3"/>
  <c r="G191" i="3"/>
  <c r="F191" i="3"/>
  <c r="E191" i="3"/>
  <c r="D191" i="3"/>
  <c r="C191" i="3"/>
  <c r="B191" i="3"/>
  <c r="A191" i="3"/>
  <c r="I190" i="3"/>
  <c r="H190" i="3"/>
  <c r="G190" i="3"/>
  <c r="F190" i="3"/>
  <c r="E190" i="3"/>
  <c r="D190" i="3"/>
  <c r="C190" i="3"/>
  <c r="B190" i="3"/>
  <c r="A190" i="3"/>
  <c r="I189" i="3"/>
  <c r="H189" i="3"/>
  <c r="G189" i="3"/>
  <c r="F189" i="3"/>
  <c r="E189" i="3"/>
  <c r="D189" i="3"/>
  <c r="C189" i="3"/>
  <c r="B189" i="3"/>
  <c r="A189" i="3"/>
  <c r="I188" i="3"/>
  <c r="H188" i="3"/>
  <c r="G188" i="3"/>
  <c r="F188" i="3"/>
  <c r="E188" i="3"/>
  <c r="D188" i="3"/>
  <c r="C188" i="3"/>
  <c r="B188" i="3"/>
  <c r="A188" i="3"/>
  <c r="L187" i="3"/>
  <c r="I187" i="3"/>
  <c r="H187" i="3"/>
  <c r="G187" i="3"/>
  <c r="F187" i="3"/>
  <c r="E187" i="3"/>
  <c r="D187" i="3"/>
  <c r="C187" i="3"/>
  <c r="B187" i="3"/>
  <c r="A187" i="3"/>
  <c r="U186" i="3"/>
  <c r="T186" i="3"/>
  <c r="I186" i="3"/>
  <c r="H186" i="3"/>
  <c r="G186" i="3"/>
  <c r="F186" i="3"/>
  <c r="E186" i="3"/>
  <c r="D186" i="3"/>
  <c r="C186" i="3"/>
  <c r="B186" i="3"/>
  <c r="A186" i="3"/>
  <c r="I185" i="3"/>
  <c r="H185" i="3"/>
  <c r="G185" i="3"/>
  <c r="F185" i="3"/>
  <c r="E185" i="3"/>
  <c r="D185" i="3"/>
  <c r="C185" i="3"/>
  <c r="B185" i="3"/>
  <c r="A185" i="3"/>
  <c r="I184" i="3"/>
  <c r="H184" i="3"/>
  <c r="G184" i="3"/>
  <c r="F184" i="3"/>
  <c r="E184" i="3"/>
  <c r="D184" i="3"/>
  <c r="C184" i="3"/>
  <c r="B184" i="3"/>
  <c r="A184" i="3"/>
  <c r="I183" i="3"/>
  <c r="H183" i="3"/>
  <c r="G183" i="3"/>
  <c r="F183" i="3"/>
  <c r="E183" i="3"/>
  <c r="D183" i="3"/>
  <c r="C183" i="3"/>
  <c r="B183" i="3"/>
  <c r="A183" i="3"/>
  <c r="I182" i="3"/>
  <c r="H182" i="3"/>
  <c r="G182" i="3"/>
  <c r="F182" i="3"/>
  <c r="E182" i="3"/>
  <c r="D182" i="3"/>
  <c r="C182" i="3"/>
  <c r="B182" i="3"/>
  <c r="A182" i="3"/>
  <c r="I181" i="3"/>
  <c r="H181" i="3"/>
  <c r="G181" i="3"/>
  <c r="F181" i="3"/>
  <c r="E181" i="3"/>
  <c r="D181" i="3"/>
  <c r="C181" i="3"/>
  <c r="B181" i="3"/>
  <c r="A181" i="3"/>
  <c r="L180" i="3"/>
  <c r="I180" i="3"/>
  <c r="H180" i="3"/>
  <c r="G180" i="3"/>
  <c r="F180" i="3"/>
  <c r="E180" i="3"/>
  <c r="D180" i="3"/>
  <c r="C180" i="3"/>
  <c r="B180" i="3"/>
  <c r="A180" i="3"/>
  <c r="U179" i="3"/>
  <c r="T179" i="3"/>
  <c r="I179" i="3"/>
  <c r="H179" i="3"/>
  <c r="G179" i="3"/>
  <c r="F179" i="3"/>
  <c r="E179" i="3"/>
  <c r="D179" i="3"/>
  <c r="C179" i="3"/>
  <c r="B179" i="3"/>
  <c r="A179" i="3"/>
  <c r="I178" i="3"/>
  <c r="H178" i="3"/>
  <c r="G178" i="3"/>
  <c r="F178" i="3"/>
  <c r="E178" i="3"/>
  <c r="D178" i="3"/>
  <c r="C178" i="3"/>
  <c r="B178" i="3"/>
  <c r="A178" i="3"/>
  <c r="I177" i="3"/>
  <c r="H177" i="3"/>
  <c r="G177" i="3"/>
  <c r="F177" i="3"/>
  <c r="E177" i="3"/>
  <c r="D177" i="3"/>
  <c r="C177" i="3"/>
  <c r="B177" i="3"/>
  <c r="A177" i="3"/>
  <c r="I176" i="3"/>
  <c r="H176" i="3"/>
  <c r="G176" i="3"/>
  <c r="F176" i="3"/>
  <c r="E176" i="3"/>
  <c r="D176" i="3"/>
  <c r="C176" i="3"/>
  <c r="B176" i="3"/>
  <c r="A176" i="3"/>
  <c r="I175" i="3"/>
  <c r="H175" i="3"/>
  <c r="G175" i="3"/>
  <c r="F175" i="3"/>
  <c r="E175" i="3"/>
  <c r="D175" i="3"/>
  <c r="C175" i="3"/>
  <c r="B175" i="3"/>
  <c r="A175" i="3"/>
  <c r="I174" i="3"/>
  <c r="H174" i="3"/>
  <c r="G174" i="3"/>
  <c r="F174" i="3"/>
  <c r="E174" i="3"/>
  <c r="D174" i="3"/>
  <c r="C174" i="3"/>
  <c r="B174" i="3"/>
  <c r="A174" i="3"/>
  <c r="L173" i="3"/>
  <c r="I173" i="3"/>
  <c r="H173" i="3"/>
  <c r="G173" i="3"/>
  <c r="F173" i="3"/>
  <c r="E173" i="3"/>
  <c r="D173" i="3"/>
  <c r="C173" i="3"/>
  <c r="B173" i="3"/>
  <c r="A173" i="3"/>
  <c r="U172" i="3"/>
  <c r="T172" i="3"/>
  <c r="I172" i="3"/>
  <c r="H172" i="3"/>
  <c r="G172" i="3"/>
  <c r="F172" i="3"/>
  <c r="E172" i="3"/>
  <c r="D172" i="3"/>
  <c r="C172" i="3"/>
  <c r="B172" i="3"/>
  <c r="A172" i="3"/>
  <c r="I171" i="3"/>
  <c r="H171" i="3"/>
  <c r="G171" i="3"/>
  <c r="F171" i="3"/>
  <c r="E171" i="3"/>
  <c r="D171" i="3"/>
  <c r="C171" i="3"/>
  <c r="B171" i="3"/>
  <c r="A171" i="3"/>
  <c r="I170" i="3"/>
  <c r="H170" i="3"/>
  <c r="G170" i="3"/>
  <c r="F170" i="3"/>
  <c r="E170" i="3"/>
  <c r="D170" i="3"/>
  <c r="C170" i="3"/>
  <c r="B170" i="3"/>
  <c r="A170" i="3"/>
  <c r="I169" i="3"/>
  <c r="H169" i="3"/>
  <c r="G169" i="3"/>
  <c r="F169" i="3"/>
  <c r="E169" i="3"/>
  <c r="D169" i="3"/>
  <c r="C169" i="3"/>
  <c r="B169" i="3"/>
  <c r="A169" i="3"/>
  <c r="I168" i="3"/>
  <c r="H168" i="3"/>
  <c r="G168" i="3"/>
  <c r="F168" i="3"/>
  <c r="E168" i="3"/>
  <c r="D168" i="3"/>
  <c r="C168" i="3"/>
  <c r="B168" i="3"/>
  <c r="A168" i="3"/>
  <c r="I167" i="3"/>
  <c r="H167" i="3"/>
  <c r="G167" i="3"/>
  <c r="F167" i="3"/>
  <c r="E167" i="3"/>
  <c r="D167" i="3"/>
  <c r="C167" i="3"/>
  <c r="B167" i="3"/>
  <c r="A167" i="3"/>
  <c r="L166" i="3"/>
  <c r="I166" i="3"/>
  <c r="H166" i="3"/>
  <c r="G166" i="3"/>
  <c r="F166" i="3"/>
  <c r="E166" i="3"/>
  <c r="D166" i="3"/>
  <c r="C166" i="3"/>
  <c r="B166" i="3"/>
  <c r="A166" i="3"/>
  <c r="U165" i="3"/>
  <c r="T165" i="3"/>
  <c r="I165" i="3"/>
  <c r="H165" i="3"/>
  <c r="G165" i="3"/>
  <c r="F165" i="3"/>
  <c r="E165" i="3"/>
  <c r="D165" i="3"/>
  <c r="C165" i="3"/>
  <c r="B165" i="3"/>
  <c r="A165" i="3"/>
  <c r="I164" i="3"/>
  <c r="H164" i="3"/>
  <c r="G164" i="3"/>
  <c r="F164" i="3"/>
  <c r="E164" i="3"/>
  <c r="D164" i="3"/>
  <c r="C164" i="3"/>
  <c r="B164" i="3"/>
  <c r="A164" i="3"/>
  <c r="I163" i="3"/>
  <c r="H163" i="3"/>
  <c r="G163" i="3"/>
  <c r="F163" i="3"/>
  <c r="E163" i="3"/>
  <c r="D163" i="3"/>
  <c r="C163" i="3"/>
  <c r="B163" i="3"/>
  <c r="A163" i="3"/>
  <c r="I162" i="3"/>
  <c r="H162" i="3"/>
  <c r="G162" i="3"/>
  <c r="F162" i="3"/>
  <c r="E162" i="3"/>
  <c r="D162" i="3"/>
  <c r="C162" i="3"/>
  <c r="B162" i="3"/>
  <c r="A162" i="3"/>
  <c r="I161" i="3"/>
  <c r="H161" i="3"/>
  <c r="G161" i="3"/>
  <c r="F161" i="3"/>
  <c r="E161" i="3"/>
  <c r="D161" i="3"/>
  <c r="C161" i="3"/>
  <c r="B161" i="3"/>
  <c r="A161" i="3"/>
  <c r="I160" i="3"/>
  <c r="H160" i="3"/>
  <c r="G160" i="3"/>
  <c r="F160" i="3"/>
  <c r="E160" i="3"/>
  <c r="D160" i="3"/>
  <c r="C160" i="3"/>
  <c r="B160" i="3"/>
  <c r="A160" i="3"/>
  <c r="L159" i="3"/>
  <c r="I159" i="3"/>
  <c r="H159" i="3"/>
  <c r="G159" i="3"/>
  <c r="F159" i="3"/>
  <c r="E159" i="3"/>
  <c r="D159" i="3"/>
  <c r="C159" i="3"/>
  <c r="B159" i="3"/>
  <c r="A159" i="3"/>
  <c r="U158" i="3"/>
  <c r="T158" i="3"/>
  <c r="I158" i="3"/>
  <c r="H158" i="3"/>
  <c r="G158" i="3"/>
  <c r="F158" i="3"/>
  <c r="E158" i="3"/>
  <c r="D158" i="3"/>
  <c r="C158" i="3"/>
  <c r="B158" i="3"/>
  <c r="A158" i="3"/>
  <c r="I157" i="3"/>
  <c r="H157" i="3"/>
  <c r="G157" i="3"/>
  <c r="F157" i="3"/>
  <c r="E157" i="3"/>
  <c r="D157" i="3"/>
  <c r="C157" i="3"/>
  <c r="B157" i="3"/>
  <c r="A157" i="3"/>
  <c r="I156" i="3"/>
  <c r="H156" i="3"/>
  <c r="G156" i="3"/>
  <c r="F156" i="3"/>
  <c r="E156" i="3"/>
  <c r="D156" i="3"/>
  <c r="C156" i="3"/>
  <c r="B156" i="3"/>
  <c r="A156" i="3"/>
  <c r="I155" i="3"/>
  <c r="H155" i="3"/>
  <c r="G155" i="3"/>
  <c r="F155" i="3"/>
  <c r="E155" i="3"/>
  <c r="D155" i="3"/>
  <c r="C155" i="3"/>
  <c r="B155" i="3"/>
  <c r="A155" i="3"/>
  <c r="I154" i="3"/>
  <c r="H154" i="3"/>
  <c r="G154" i="3"/>
  <c r="F154" i="3"/>
  <c r="E154" i="3"/>
  <c r="D154" i="3"/>
  <c r="C154" i="3"/>
  <c r="B154" i="3"/>
  <c r="A154" i="3"/>
  <c r="I153" i="3"/>
  <c r="H153" i="3"/>
  <c r="G153" i="3"/>
  <c r="F153" i="3"/>
  <c r="E153" i="3"/>
  <c r="D153" i="3"/>
  <c r="C153" i="3"/>
  <c r="B153" i="3"/>
  <c r="A153" i="3"/>
  <c r="L152" i="3"/>
  <c r="I152" i="3"/>
  <c r="H152" i="3"/>
  <c r="G152" i="3"/>
  <c r="F152" i="3"/>
  <c r="E152" i="3"/>
  <c r="D152" i="3"/>
  <c r="C152" i="3"/>
  <c r="B152" i="3"/>
  <c r="A152" i="3"/>
  <c r="U151" i="3"/>
  <c r="T151" i="3"/>
  <c r="I151" i="3"/>
  <c r="H151" i="3"/>
  <c r="G151" i="3"/>
  <c r="F151" i="3"/>
  <c r="E151" i="3"/>
  <c r="D151" i="3"/>
  <c r="C151" i="3"/>
  <c r="B151" i="3"/>
  <c r="A151" i="3"/>
  <c r="I150" i="3"/>
  <c r="H150" i="3"/>
  <c r="G150" i="3"/>
  <c r="F150" i="3"/>
  <c r="E150" i="3"/>
  <c r="D150" i="3"/>
  <c r="C150" i="3"/>
  <c r="B150" i="3"/>
  <c r="A150" i="3"/>
  <c r="I149" i="3"/>
  <c r="H149" i="3"/>
  <c r="G149" i="3"/>
  <c r="F149" i="3"/>
  <c r="E149" i="3"/>
  <c r="D149" i="3"/>
  <c r="C149" i="3"/>
  <c r="B149" i="3"/>
  <c r="A149" i="3"/>
  <c r="I148" i="3"/>
  <c r="H148" i="3"/>
  <c r="G148" i="3"/>
  <c r="F148" i="3"/>
  <c r="E148" i="3"/>
  <c r="D148" i="3"/>
  <c r="C148" i="3"/>
  <c r="B148" i="3"/>
  <c r="A148" i="3"/>
  <c r="I147" i="3"/>
  <c r="H147" i="3"/>
  <c r="G147" i="3"/>
  <c r="F147" i="3"/>
  <c r="E147" i="3"/>
  <c r="D147" i="3"/>
  <c r="C147" i="3"/>
  <c r="B147" i="3"/>
  <c r="A147" i="3"/>
  <c r="I146" i="3"/>
  <c r="H146" i="3"/>
  <c r="G146" i="3"/>
  <c r="F146" i="3"/>
  <c r="E146" i="3"/>
  <c r="D146" i="3"/>
  <c r="C146" i="3"/>
  <c r="B146" i="3"/>
  <c r="A146" i="3"/>
  <c r="L145" i="3"/>
  <c r="I145" i="3"/>
  <c r="H145" i="3"/>
  <c r="G145" i="3"/>
  <c r="F145" i="3"/>
  <c r="E145" i="3"/>
  <c r="D145" i="3"/>
  <c r="C145" i="3"/>
  <c r="B145" i="3"/>
  <c r="A145" i="3"/>
  <c r="U144" i="3"/>
  <c r="T144" i="3"/>
  <c r="I144" i="3"/>
  <c r="H144" i="3"/>
  <c r="G144" i="3"/>
  <c r="F144" i="3"/>
  <c r="E144" i="3"/>
  <c r="D144" i="3"/>
  <c r="C144" i="3"/>
  <c r="B144" i="3"/>
  <c r="L144" i="3" s="1"/>
  <c r="A144" i="3"/>
  <c r="I143" i="3"/>
  <c r="H143" i="3"/>
  <c r="G143" i="3"/>
  <c r="F143" i="3"/>
  <c r="E143" i="3"/>
  <c r="D143" i="3"/>
  <c r="C143" i="3"/>
  <c r="B143" i="3"/>
  <c r="A143" i="3"/>
  <c r="I142" i="3"/>
  <c r="H142" i="3"/>
  <c r="G142" i="3"/>
  <c r="F142" i="3"/>
  <c r="E142" i="3"/>
  <c r="D142" i="3"/>
  <c r="C142" i="3"/>
  <c r="B142" i="3"/>
  <c r="A142" i="3"/>
  <c r="I141" i="3"/>
  <c r="H141" i="3"/>
  <c r="G141" i="3"/>
  <c r="F141" i="3"/>
  <c r="E141" i="3"/>
  <c r="D141" i="3"/>
  <c r="C141" i="3"/>
  <c r="B141" i="3"/>
  <c r="A141" i="3"/>
  <c r="I140" i="3"/>
  <c r="H140" i="3"/>
  <c r="G140" i="3"/>
  <c r="F140" i="3"/>
  <c r="E140" i="3"/>
  <c r="D140" i="3"/>
  <c r="C140" i="3"/>
  <c r="B140" i="3"/>
  <c r="A140" i="3"/>
  <c r="I139" i="3"/>
  <c r="H139" i="3"/>
  <c r="G139" i="3"/>
  <c r="F139" i="3"/>
  <c r="E139" i="3"/>
  <c r="D139" i="3"/>
  <c r="C139" i="3"/>
  <c r="B139" i="3"/>
  <c r="A139" i="3"/>
  <c r="L138" i="3"/>
  <c r="I138" i="3"/>
  <c r="H138" i="3"/>
  <c r="G138" i="3"/>
  <c r="F138" i="3"/>
  <c r="E138" i="3"/>
  <c r="D138" i="3"/>
  <c r="C138" i="3"/>
  <c r="B138" i="3"/>
  <c r="A138" i="3"/>
  <c r="U137" i="3"/>
  <c r="T137" i="3"/>
  <c r="I137" i="3"/>
  <c r="H137" i="3"/>
  <c r="G137" i="3"/>
  <c r="F137" i="3"/>
  <c r="E137" i="3"/>
  <c r="D137" i="3"/>
  <c r="C137" i="3"/>
  <c r="B137" i="3"/>
  <c r="A137" i="3"/>
  <c r="I136" i="3"/>
  <c r="H136" i="3"/>
  <c r="G136" i="3"/>
  <c r="F136" i="3"/>
  <c r="E136" i="3"/>
  <c r="D136" i="3"/>
  <c r="C136" i="3"/>
  <c r="B136" i="3"/>
  <c r="A136" i="3"/>
  <c r="I135" i="3"/>
  <c r="H135" i="3"/>
  <c r="G135" i="3"/>
  <c r="F135" i="3"/>
  <c r="E135" i="3"/>
  <c r="D135" i="3"/>
  <c r="C135" i="3"/>
  <c r="B135" i="3"/>
  <c r="A135" i="3"/>
  <c r="I134" i="3"/>
  <c r="H134" i="3"/>
  <c r="G134" i="3"/>
  <c r="F134" i="3"/>
  <c r="E134" i="3"/>
  <c r="D134" i="3"/>
  <c r="C134" i="3"/>
  <c r="B134" i="3"/>
  <c r="A134" i="3"/>
  <c r="I133" i="3"/>
  <c r="H133" i="3"/>
  <c r="G133" i="3"/>
  <c r="F133" i="3"/>
  <c r="E133" i="3"/>
  <c r="D133" i="3"/>
  <c r="C133" i="3"/>
  <c r="B133" i="3"/>
  <c r="A133" i="3"/>
  <c r="I132" i="3"/>
  <c r="H132" i="3"/>
  <c r="G132" i="3"/>
  <c r="F132" i="3"/>
  <c r="E132" i="3"/>
  <c r="D132" i="3"/>
  <c r="C132" i="3"/>
  <c r="B132" i="3"/>
  <c r="A132" i="3"/>
  <c r="L131" i="3"/>
  <c r="I131" i="3"/>
  <c r="H131" i="3"/>
  <c r="G131" i="3"/>
  <c r="F131" i="3"/>
  <c r="E131" i="3"/>
  <c r="D131" i="3"/>
  <c r="C131" i="3"/>
  <c r="B131" i="3"/>
  <c r="A131" i="3"/>
  <c r="U130" i="3"/>
  <c r="T130" i="3"/>
  <c r="I130" i="3"/>
  <c r="H130" i="3"/>
  <c r="G130" i="3"/>
  <c r="F130" i="3"/>
  <c r="E130" i="3"/>
  <c r="D130" i="3"/>
  <c r="C130" i="3"/>
  <c r="B130" i="3"/>
  <c r="A130" i="3"/>
  <c r="I129" i="3"/>
  <c r="H129" i="3"/>
  <c r="G129" i="3"/>
  <c r="F129" i="3"/>
  <c r="E129" i="3"/>
  <c r="D129" i="3"/>
  <c r="C129" i="3"/>
  <c r="B129" i="3"/>
  <c r="A129" i="3"/>
  <c r="I128" i="3"/>
  <c r="H128" i="3"/>
  <c r="G128" i="3"/>
  <c r="F128" i="3"/>
  <c r="E128" i="3"/>
  <c r="D128" i="3"/>
  <c r="C128" i="3"/>
  <c r="B128" i="3"/>
  <c r="A128" i="3"/>
  <c r="I127" i="3"/>
  <c r="H127" i="3"/>
  <c r="G127" i="3"/>
  <c r="F127" i="3"/>
  <c r="E127" i="3"/>
  <c r="D127" i="3"/>
  <c r="C127" i="3"/>
  <c r="B127" i="3"/>
  <c r="A127" i="3"/>
  <c r="I126" i="3"/>
  <c r="H126" i="3"/>
  <c r="G126" i="3"/>
  <c r="F126" i="3"/>
  <c r="E126" i="3"/>
  <c r="D126" i="3"/>
  <c r="C126" i="3"/>
  <c r="B126" i="3"/>
  <c r="A126" i="3"/>
  <c r="I125" i="3"/>
  <c r="H125" i="3"/>
  <c r="G125" i="3"/>
  <c r="F125" i="3"/>
  <c r="E125" i="3"/>
  <c r="D125" i="3"/>
  <c r="C125" i="3"/>
  <c r="B125" i="3"/>
  <c r="A125" i="3"/>
  <c r="L124" i="3"/>
  <c r="I124" i="3"/>
  <c r="H124" i="3"/>
  <c r="G124" i="3"/>
  <c r="F124" i="3"/>
  <c r="E124" i="3"/>
  <c r="D124" i="3"/>
  <c r="C124" i="3"/>
  <c r="B124" i="3"/>
  <c r="A124" i="3"/>
  <c r="U123" i="3"/>
  <c r="T123" i="3"/>
  <c r="I123" i="3"/>
  <c r="H123" i="3"/>
  <c r="G123" i="3"/>
  <c r="F123" i="3"/>
  <c r="E123" i="3"/>
  <c r="D123" i="3"/>
  <c r="C123" i="3"/>
  <c r="B123" i="3"/>
  <c r="A123" i="3"/>
  <c r="I122" i="3"/>
  <c r="H122" i="3"/>
  <c r="G122" i="3"/>
  <c r="F122" i="3"/>
  <c r="E122" i="3"/>
  <c r="D122" i="3"/>
  <c r="C122" i="3"/>
  <c r="B122" i="3"/>
  <c r="A122" i="3"/>
  <c r="I121" i="3"/>
  <c r="H121" i="3"/>
  <c r="G121" i="3"/>
  <c r="F121" i="3"/>
  <c r="E121" i="3"/>
  <c r="D121" i="3"/>
  <c r="C121" i="3"/>
  <c r="B121" i="3"/>
  <c r="A121" i="3"/>
  <c r="I120" i="3"/>
  <c r="H120" i="3"/>
  <c r="G120" i="3"/>
  <c r="F120" i="3"/>
  <c r="E120" i="3"/>
  <c r="D120" i="3"/>
  <c r="C120" i="3"/>
  <c r="B120" i="3"/>
  <c r="A120" i="3"/>
  <c r="I119" i="3"/>
  <c r="H119" i="3"/>
  <c r="G119" i="3"/>
  <c r="F119" i="3"/>
  <c r="E119" i="3"/>
  <c r="D119" i="3"/>
  <c r="C119" i="3"/>
  <c r="B119" i="3"/>
  <c r="A119" i="3"/>
  <c r="I118" i="3"/>
  <c r="H118" i="3"/>
  <c r="G118" i="3"/>
  <c r="F118" i="3"/>
  <c r="E118" i="3"/>
  <c r="D118" i="3"/>
  <c r="C118" i="3"/>
  <c r="B118" i="3"/>
  <c r="A118" i="3"/>
  <c r="L117" i="3"/>
  <c r="I117" i="3"/>
  <c r="H117" i="3"/>
  <c r="G117" i="3"/>
  <c r="F117" i="3"/>
  <c r="E117" i="3"/>
  <c r="D117" i="3"/>
  <c r="C117" i="3"/>
  <c r="B117" i="3"/>
  <c r="A117" i="3"/>
  <c r="U116" i="3"/>
  <c r="T116" i="3"/>
  <c r="I116" i="3"/>
  <c r="H116" i="3"/>
  <c r="G116" i="3"/>
  <c r="F116" i="3"/>
  <c r="E116" i="3"/>
  <c r="D116" i="3"/>
  <c r="C116" i="3"/>
  <c r="B116" i="3"/>
  <c r="A116" i="3"/>
  <c r="I115" i="3"/>
  <c r="H115" i="3"/>
  <c r="G115" i="3"/>
  <c r="F115" i="3"/>
  <c r="E115" i="3"/>
  <c r="D115" i="3"/>
  <c r="C115" i="3"/>
  <c r="B115" i="3"/>
  <c r="A115" i="3"/>
  <c r="I114" i="3"/>
  <c r="H114" i="3"/>
  <c r="G114" i="3"/>
  <c r="F114" i="3"/>
  <c r="E114" i="3"/>
  <c r="D114" i="3"/>
  <c r="C114" i="3"/>
  <c r="B114" i="3"/>
  <c r="A114" i="3"/>
  <c r="I113" i="3"/>
  <c r="H113" i="3"/>
  <c r="G113" i="3"/>
  <c r="F113" i="3"/>
  <c r="E113" i="3"/>
  <c r="D113" i="3"/>
  <c r="C113" i="3"/>
  <c r="B113" i="3"/>
  <c r="A113" i="3"/>
  <c r="I112" i="3"/>
  <c r="H112" i="3"/>
  <c r="G112" i="3"/>
  <c r="F112" i="3"/>
  <c r="E112" i="3"/>
  <c r="D112" i="3"/>
  <c r="C112" i="3"/>
  <c r="B112" i="3"/>
  <c r="A112" i="3"/>
  <c r="I111" i="3"/>
  <c r="H111" i="3"/>
  <c r="G111" i="3"/>
  <c r="F111" i="3"/>
  <c r="E111" i="3"/>
  <c r="D111" i="3"/>
  <c r="C111" i="3"/>
  <c r="B111" i="3"/>
  <c r="A111" i="3"/>
  <c r="L110" i="3"/>
  <c r="I110" i="3"/>
  <c r="H110" i="3"/>
  <c r="G110" i="3"/>
  <c r="F110" i="3"/>
  <c r="E110" i="3"/>
  <c r="D110" i="3"/>
  <c r="C110" i="3"/>
  <c r="B110" i="3"/>
  <c r="A110" i="3"/>
  <c r="U109" i="3"/>
  <c r="T109" i="3"/>
  <c r="I109" i="3"/>
  <c r="H109" i="3"/>
  <c r="G109" i="3"/>
  <c r="F109" i="3"/>
  <c r="E109" i="3"/>
  <c r="D109" i="3"/>
  <c r="C109" i="3"/>
  <c r="B109" i="3"/>
  <c r="L109" i="3" s="1"/>
  <c r="A109" i="3"/>
  <c r="I108" i="3"/>
  <c r="H108" i="3"/>
  <c r="G108" i="3"/>
  <c r="F108" i="3"/>
  <c r="E108" i="3"/>
  <c r="D108" i="3"/>
  <c r="C108" i="3"/>
  <c r="B108" i="3"/>
  <c r="A108" i="3"/>
  <c r="I107" i="3"/>
  <c r="H107" i="3"/>
  <c r="G107" i="3"/>
  <c r="F107" i="3"/>
  <c r="E107" i="3"/>
  <c r="D107" i="3"/>
  <c r="C107" i="3"/>
  <c r="B107" i="3"/>
  <c r="A107" i="3"/>
  <c r="I106" i="3"/>
  <c r="H106" i="3"/>
  <c r="G106" i="3"/>
  <c r="F106" i="3"/>
  <c r="E106" i="3"/>
  <c r="D106" i="3"/>
  <c r="C106" i="3"/>
  <c r="B106" i="3"/>
  <c r="A106" i="3"/>
  <c r="I105" i="3"/>
  <c r="H105" i="3"/>
  <c r="G105" i="3"/>
  <c r="F105" i="3"/>
  <c r="E105" i="3"/>
  <c r="D105" i="3"/>
  <c r="C105" i="3"/>
  <c r="B105" i="3"/>
  <c r="A105" i="3"/>
  <c r="I104" i="3"/>
  <c r="H104" i="3"/>
  <c r="G104" i="3"/>
  <c r="F104" i="3"/>
  <c r="E104" i="3"/>
  <c r="D104" i="3"/>
  <c r="C104" i="3"/>
  <c r="B104" i="3"/>
  <c r="A104" i="3"/>
  <c r="I103" i="3"/>
  <c r="H103" i="3"/>
  <c r="G103" i="3"/>
  <c r="F103" i="3"/>
  <c r="E103" i="3"/>
  <c r="D103" i="3"/>
  <c r="C103" i="3"/>
  <c r="B103" i="3"/>
  <c r="A103" i="3"/>
  <c r="U102" i="3"/>
  <c r="T102" i="3"/>
  <c r="I102" i="3"/>
  <c r="H102" i="3"/>
  <c r="G102" i="3"/>
  <c r="F102" i="3"/>
  <c r="E102" i="3"/>
  <c r="D102" i="3"/>
  <c r="C102" i="3"/>
  <c r="B102" i="3"/>
  <c r="A102" i="3"/>
  <c r="I101" i="3"/>
  <c r="H101" i="3"/>
  <c r="G101" i="3"/>
  <c r="F101" i="3"/>
  <c r="E101" i="3"/>
  <c r="D101" i="3"/>
  <c r="C101" i="3"/>
  <c r="B101" i="3"/>
  <c r="A101" i="3"/>
  <c r="I100" i="3"/>
  <c r="H100" i="3"/>
  <c r="G100" i="3"/>
  <c r="F100" i="3"/>
  <c r="E100" i="3"/>
  <c r="D100" i="3"/>
  <c r="C100" i="3"/>
  <c r="B100" i="3"/>
  <c r="A100" i="3"/>
  <c r="I99" i="3"/>
  <c r="H99" i="3"/>
  <c r="G99" i="3"/>
  <c r="F99" i="3"/>
  <c r="E99" i="3"/>
  <c r="D99" i="3"/>
  <c r="C99" i="3"/>
  <c r="B99" i="3"/>
  <c r="A99" i="3"/>
  <c r="I98" i="3"/>
  <c r="H98" i="3"/>
  <c r="G98" i="3"/>
  <c r="F98" i="3"/>
  <c r="E98" i="3"/>
  <c r="D98" i="3"/>
  <c r="C98" i="3"/>
  <c r="B98" i="3"/>
  <c r="A98" i="3"/>
  <c r="I97" i="3"/>
  <c r="H97" i="3"/>
  <c r="G97" i="3"/>
  <c r="F97" i="3"/>
  <c r="E97" i="3"/>
  <c r="D97" i="3"/>
  <c r="C97" i="3"/>
  <c r="B97" i="3"/>
  <c r="A97" i="3"/>
  <c r="I96" i="3"/>
  <c r="H96" i="3"/>
  <c r="G96" i="3"/>
  <c r="F96" i="3"/>
  <c r="E96" i="3"/>
  <c r="D96" i="3"/>
  <c r="C96" i="3"/>
  <c r="B96" i="3"/>
  <c r="A96" i="3"/>
  <c r="U95" i="3"/>
  <c r="T95" i="3"/>
  <c r="I95" i="3"/>
  <c r="H95" i="3"/>
  <c r="G95" i="3"/>
  <c r="F95" i="3"/>
  <c r="E95" i="3"/>
  <c r="D95" i="3"/>
  <c r="C95" i="3"/>
  <c r="B95" i="3"/>
  <c r="A95" i="3"/>
  <c r="I94" i="3"/>
  <c r="H94" i="3"/>
  <c r="G94" i="3"/>
  <c r="F94" i="3"/>
  <c r="E94" i="3"/>
  <c r="D94" i="3"/>
  <c r="C94" i="3"/>
  <c r="B94" i="3"/>
  <c r="A94" i="3"/>
  <c r="I93" i="3"/>
  <c r="H93" i="3"/>
  <c r="G93" i="3"/>
  <c r="F93" i="3"/>
  <c r="E93" i="3"/>
  <c r="D93" i="3"/>
  <c r="C93" i="3"/>
  <c r="B93" i="3"/>
  <c r="A93" i="3"/>
  <c r="I92" i="3"/>
  <c r="H92" i="3"/>
  <c r="G92" i="3"/>
  <c r="F92" i="3"/>
  <c r="E92" i="3"/>
  <c r="D92" i="3"/>
  <c r="C92" i="3"/>
  <c r="B92" i="3"/>
  <c r="A92" i="3"/>
  <c r="I91" i="3"/>
  <c r="H91" i="3"/>
  <c r="G91" i="3"/>
  <c r="F91" i="3"/>
  <c r="E91" i="3"/>
  <c r="D91" i="3"/>
  <c r="C91" i="3"/>
  <c r="B91" i="3"/>
  <c r="A91" i="3"/>
  <c r="I90" i="3"/>
  <c r="H90" i="3"/>
  <c r="G90" i="3"/>
  <c r="F90" i="3"/>
  <c r="E90" i="3"/>
  <c r="D90" i="3"/>
  <c r="C90" i="3"/>
  <c r="B90" i="3"/>
  <c r="A90" i="3"/>
  <c r="I89" i="3"/>
  <c r="H89" i="3"/>
  <c r="G89" i="3"/>
  <c r="F89" i="3"/>
  <c r="E89" i="3"/>
  <c r="D89" i="3"/>
  <c r="C89" i="3"/>
  <c r="B89" i="3"/>
  <c r="A89" i="3"/>
  <c r="U88" i="3"/>
  <c r="T88" i="3"/>
  <c r="I88" i="3"/>
  <c r="H88" i="3"/>
  <c r="G88" i="3"/>
  <c r="F88" i="3"/>
  <c r="E88" i="3"/>
  <c r="D88" i="3"/>
  <c r="C88" i="3"/>
  <c r="B88" i="3"/>
  <c r="A88" i="3"/>
  <c r="I87" i="3"/>
  <c r="H87" i="3"/>
  <c r="G87" i="3"/>
  <c r="F87" i="3"/>
  <c r="E87" i="3"/>
  <c r="D87" i="3"/>
  <c r="C87" i="3"/>
  <c r="B87" i="3"/>
  <c r="A87" i="3"/>
  <c r="O86" i="3"/>
  <c r="K86" i="3"/>
  <c r="I86" i="3"/>
  <c r="H86" i="3"/>
  <c r="G86" i="3"/>
  <c r="F86" i="3"/>
  <c r="E86" i="3"/>
  <c r="D86" i="3"/>
  <c r="C86" i="3"/>
  <c r="B86" i="3"/>
  <c r="A86" i="3"/>
  <c r="I85" i="3"/>
  <c r="H85" i="3"/>
  <c r="G85" i="3"/>
  <c r="F85" i="3"/>
  <c r="E85" i="3"/>
  <c r="D85" i="3"/>
  <c r="C85" i="3"/>
  <c r="B85" i="3"/>
  <c r="A85" i="3"/>
  <c r="I84" i="3"/>
  <c r="H84" i="3"/>
  <c r="G84" i="3"/>
  <c r="F84" i="3"/>
  <c r="E84" i="3"/>
  <c r="D84" i="3"/>
  <c r="C84" i="3"/>
  <c r="B84" i="3"/>
  <c r="A84" i="3"/>
  <c r="I83" i="3"/>
  <c r="H83" i="3"/>
  <c r="G83" i="3"/>
  <c r="F83" i="3"/>
  <c r="E83" i="3"/>
  <c r="D83" i="3"/>
  <c r="C83" i="3"/>
  <c r="B83" i="3"/>
  <c r="A83" i="3"/>
  <c r="I82" i="3"/>
  <c r="H82" i="3"/>
  <c r="G82" i="3"/>
  <c r="F82" i="3"/>
  <c r="E82" i="3"/>
  <c r="D82" i="3"/>
  <c r="C82" i="3"/>
  <c r="B82" i="3"/>
  <c r="A82" i="3"/>
  <c r="U81" i="3"/>
  <c r="T81" i="3"/>
  <c r="I81" i="3"/>
  <c r="H81" i="3"/>
  <c r="G81" i="3"/>
  <c r="F81" i="3"/>
  <c r="E81" i="3"/>
  <c r="D81" i="3"/>
  <c r="C81" i="3"/>
  <c r="B81" i="3"/>
  <c r="A81" i="3"/>
  <c r="I80" i="3"/>
  <c r="H80" i="3"/>
  <c r="G80" i="3"/>
  <c r="F80" i="3"/>
  <c r="E80" i="3"/>
  <c r="D80" i="3"/>
  <c r="C80" i="3"/>
  <c r="B80" i="3"/>
  <c r="A80" i="3"/>
  <c r="I79" i="3"/>
  <c r="H79" i="3"/>
  <c r="G79" i="3"/>
  <c r="F79" i="3"/>
  <c r="E79" i="3"/>
  <c r="D79" i="3"/>
  <c r="C79" i="3"/>
  <c r="B79" i="3"/>
  <c r="A79" i="3"/>
  <c r="I78" i="3"/>
  <c r="H78" i="3"/>
  <c r="G78" i="3"/>
  <c r="F78" i="3"/>
  <c r="E78" i="3"/>
  <c r="D78" i="3"/>
  <c r="C78" i="3"/>
  <c r="B78" i="3"/>
  <c r="A78" i="3"/>
  <c r="I77" i="3"/>
  <c r="H77" i="3"/>
  <c r="G77" i="3"/>
  <c r="F77" i="3"/>
  <c r="E77" i="3"/>
  <c r="D77" i="3"/>
  <c r="C77" i="3"/>
  <c r="B77" i="3"/>
  <c r="A77" i="3"/>
  <c r="I76" i="3"/>
  <c r="H76" i="3"/>
  <c r="G76" i="3"/>
  <c r="F76" i="3"/>
  <c r="E76" i="3"/>
  <c r="D76" i="3"/>
  <c r="C76" i="3"/>
  <c r="B76" i="3"/>
  <c r="A76" i="3"/>
  <c r="I75" i="3"/>
  <c r="H75" i="3"/>
  <c r="G75" i="3"/>
  <c r="F75" i="3"/>
  <c r="E75" i="3"/>
  <c r="D75" i="3"/>
  <c r="C75" i="3"/>
  <c r="B75" i="3"/>
  <c r="A75" i="3"/>
  <c r="U74" i="3"/>
  <c r="T74" i="3"/>
  <c r="I74" i="3"/>
  <c r="H74" i="3"/>
  <c r="G74" i="3"/>
  <c r="F74" i="3"/>
  <c r="E74" i="3"/>
  <c r="D74" i="3"/>
  <c r="C74" i="3"/>
  <c r="B74" i="3"/>
  <c r="A74" i="3"/>
  <c r="I73" i="3"/>
  <c r="H73" i="3"/>
  <c r="G73" i="3"/>
  <c r="F73" i="3"/>
  <c r="E73" i="3"/>
  <c r="D73" i="3"/>
  <c r="C73" i="3"/>
  <c r="B73" i="3"/>
  <c r="A73" i="3"/>
  <c r="I72" i="3"/>
  <c r="H72" i="3"/>
  <c r="G72" i="3"/>
  <c r="F72" i="3"/>
  <c r="E72" i="3"/>
  <c r="D72" i="3"/>
  <c r="C72" i="3"/>
  <c r="B72" i="3"/>
  <c r="A72" i="3"/>
  <c r="I71" i="3"/>
  <c r="H71" i="3"/>
  <c r="G71" i="3"/>
  <c r="F71" i="3"/>
  <c r="E71" i="3"/>
  <c r="D71" i="3"/>
  <c r="C71" i="3"/>
  <c r="B71" i="3"/>
  <c r="A71" i="3"/>
  <c r="I70" i="3"/>
  <c r="H70" i="3"/>
  <c r="G70" i="3"/>
  <c r="F70" i="3"/>
  <c r="E70" i="3"/>
  <c r="D70" i="3"/>
  <c r="C70" i="3"/>
  <c r="B70" i="3"/>
  <c r="A70" i="3"/>
  <c r="I69" i="3"/>
  <c r="H69" i="3"/>
  <c r="G69" i="3"/>
  <c r="F69" i="3"/>
  <c r="E69" i="3"/>
  <c r="D69" i="3"/>
  <c r="C69" i="3"/>
  <c r="B69" i="3"/>
  <c r="A69" i="3"/>
  <c r="I68" i="3"/>
  <c r="H68" i="3"/>
  <c r="G68" i="3"/>
  <c r="F68" i="3"/>
  <c r="E68" i="3"/>
  <c r="D68" i="3"/>
  <c r="C68" i="3"/>
  <c r="B68" i="3"/>
  <c r="A68" i="3"/>
  <c r="U67" i="3"/>
  <c r="T67" i="3"/>
  <c r="I67" i="3"/>
  <c r="H67" i="3"/>
  <c r="G67" i="3"/>
  <c r="F67" i="3"/>
  <c r="E67" i="3"/>
  <c r="D67" i="3"/>
  <c r="C67" i="3"/>
  <c r="B67" i="3"/>
  <c r="A67" i="3"/>
  <c r="I66" i="3"/>
  <c r="H66" i="3"/>
  <c r="G66" i="3"/>
  <c r="F66" i="3"/>
  <c r="E66" i="3"/>
  <c r="D66" i="3"/>
  <c r="C66" i="3"/>
  <c r="B66" i="3"/>
  <c r="A66" i="3"/>
  <c r="I65" i="3"/>
  <c r="H65" i="3"/>
  <c r="G65" i="3"/>
  <c r="F65" i="3"/>
  <c r="E65" i="3"/>
  <c r="D65" i="3"/>
  <c r="C65" i="3"/>
  <c r="B65" i="3"/>
  <c r="A65" i="3"/>
  <c r="I64" i="3"/>
  <c r="H64" i="3"/>
  <c r="G64" i="3"/>
  <c r="F64" i="3"/>
  <c r="E64" i="3"/>
  <c r="D64" i="3"/>
  <c r="C64" i="3"/>
  <c r="B64" i="3"/>
  <c r="A64" i="3"/>
  <c r="I63" i="3"/>
  <c r="H63" i="3"/>
  <c r="G63" i="3"/>
  <c r="F63" i="3"/>
  <c r="E63" i="3"/>
  <c r="D63" i="3"/>
  <c r="C63" i="3"/>
  <c r="B63" i="3"/>
  <c r="A63" i="3"/>
  <c r="I62" i="3"/>
  <c r="H62" i="3"/>
  <c r="G62" i="3"/>
  <c r="F62" i="3"/>
  <c r="E62" i="3"/>
  <c r="D62" i="3"/>
  <c r="C62" i="3"/>
  <c r="B62" i="3"/>
  <c r="A62" i="3"/>
  <c r="L61" i="3"/>
  <c r="I61" i="3"/>
  <c r="H61" i="3"/>
  <c r="G61" i="3"/>
  <c r="F61" i="3"/>
  <c r="E61" i="3"/>
  <c r="D61" i="3"/>
  <c r="C61" i="3"/>
  <c r="B61" i="3"/>
  <c r="A61" i="3"/>
  <c r="U60" i="3"/>
  <c r="T60" i="3"/>
  <c r="I60" i="3"/>
  <c r="H60" i="3"/>
  <c r="G60" i="3"/>
  <c r="F60" i="3"/>
  <c r="E60" i="3"/>
  <c r="D60" i="3"/>
  <c r="C60" i="3"/>
  <c r="B60" i="3"/>
  <c r="A60" i="3"/>
  <c r="I59" i="3"/>
  <c r="H59" i="3"/>
  <c r="G59" i="3"/>
  <c r="F59" i="3"/>
  <c r="E59" i="3"/>
  <c r="D59" i="3"/>
  <c r="C59" i="3"/>
  <c r="B59" i="3"/>
  <c r="A59" i="3"/>
  <c r="I58" i="3"/>
  <c r="H58" i="3"/>
  <c r="G58" i="3"/>
  <c r="F58" i="3"/>
  <c r="E58" i="3"/>
  <c r="D58" i="3"/>
  <c r="C58" i="3"/>
  <c r="B58" i="3"/>
  <c r="A58" i="3"/>
  <c r="I57" i="3"/>
  <c r="H57" i="3"/>
  <c r="G57" i="3"/>
  <c r="F57" i="3"/>
  <c r="E57" i="3"/>
  <c r="D57" i="3"/>
  <c r="C57" i="3"/>
  <c r="B57" i="3"/>
  <c r="A57" i="3"/>
  <c r="I56" i="3"/>
  <c r="H56" i="3"/>
  <c r="G56" i="3"/>
  <c r="F56" i="3"/>
  <c r="E56" i="3"/>
  <c r="D56" i="3"/>
  <c r="C56" i="3"/>
  <c r="B56" i="3"/>
  <c r="A56" i="3"/>
  <c r="I55" i="3"/>
  <c r="H55" i="3"/>
  <c r="G55" i="3"/>
  <c r="F55" i="3"/>
  <c r="E55" i="3"/>
  <c r="D55" i="3"/>
  <c r="C55" i="3"/>
  <c r="B55" i="3"/>
  <c r="A55" i="3"/>
  <c r="L54" i="3"/>
  <c r="I54" i="3"/>
  <c r="H54" i="3"/>
  <c r="G54" i="3"/>
  <c r="F54" i="3"/>
  <c r="E54" i="3"/>
  <c r="D54" i="3"/>
  <c r="C54" i="3"/>
  <c r="B54" i="3"/>
  <c r="A54" i="3"/>
  <c r="U53" i="3"/>
  <c r="T53" i="3"/>
  <c r="I53" i="3"/>
  <c r="H53" i="3"/>
  <c r="G53" i="3"/>
  <c r="F53" i="3"/>
  <c r="E53" i="3"/>
  <c r="D53" i="3"/>
  <c r="C53" i="3"/>
  <c r="B53" i="3"/>
  <c r="A53" i="3"/>
  <c r="I52" i="3"/>
  <c r="H52" i="3"/>
  <c r="G52" i="3"/>
  <c r="F52" i="3"/>
  <c r="E52" i="3"/>
  <c r="D52" i="3"/>
  <c r="C52" i="3"/>
  <c r="B52" i="3"/>
  <c r="A52" i="3"/>
  <c r="I51" i="3"/>
  <c r="H51" i="3"/>
  <c r="G51" i="3"/>
  <c r="F51" i="3"/>
  <c r="E51" i="3"/>
  <c r="D51" i="3"/>
  <c r="C51" i="3"/>
  <c r="B51" i="3"/>
  <c r="A51" i="3"/>
  <c r="I50" i="3"/>
  <c r="H50" i="3"/>
  <c r="G50" i="3"/>
  <c r="F50" i="3"/>
  <c r="E50" i="3"/>
  <c r="D50" i="3"/>
  <c r="C50" i="3"/>
  <c r="B50" i="3"/>
  <c r="A50" i="3"/>
  <c r="I49" i="3"/>
  <c r="H49" i="3"/>
  <c r="G49" i="3"/>
  <c r="F49" i="3"/>
  <c r="E49" i="3"/>
  <c r="D49" i="3"/>
  <c r="C49" i="3"/>
  <c r="B49" i="3"/>
  <c r="A49" i="3"/>
  <c r="I48" i="3"/>
  <c r="H48" i="3"/>
  <c r="G48" i="3"/>
  <c r="F48" i="3"/>
  <c r="E48" i="3"/>
  <c r="D48" i="3"/>
  <c r="C48" i="3"/>
  <c r="B48" i="3"/>
  <c r="A48" i="3"/>
  <c r="L47" i="3"/>
  <c r="I47" i="3"/>
  <c r="H47" i="3"/>
  <c r="G47" i="3"/>
  <c r="F47" i="3"/>
  <c r="E47" i="3"/>
  <c r="D47" i="3"/>
  <c r="C47" i="3"/>
  <c r="B47" i="3"/>
  <c r="A47" i="3"/>
  <c r="U46" i="3"/>
  <c r="T46" i="3"/>
  <c r="I46" i="3"/>
  <c r="H46" i="3"/>
  <c r="G46" i="3"/>
  <c r="F46" i="3"/>
  <c r="E46" i="3"/>
  <c r="D46" i="3"/>
  <c r="C46" i="3"/>
  <c r="B46" i="3"/>
  <c r="A46" i="3"/>
  <c r="I45" i="3"/>
  <c r="H45" i="3"/>
  <c r="G45" i="3"/>
  <c r="F45" i="3"/>
  <c r="E45" i="3"/>
  <c r="D45" i="3"/>
  <c r="C45" i="3"/>
  <c r="B45" i="3"/>
  <c r="A45" i="3"/>
  <c r="I44" i="3"/>
  <c r="H44" i="3"/>
  <c r="G44" i="3"/>
  <c r="F44" i="3"/>
  <c r="E44" i="3"/>
  <c r="D44" i="3"/>
  <c r="C44" i="3"/>
  <c r="B44" i="3"/>
  <c r="A44" i="3"/>
  <c r="I43" i="3"/>
  <c r="H43" i="3"/>
  <c r="G43" i="3"/>
  <c r="F43" i="3"/>
  <c r="E43" i="3"/>
  <c r="D43" i="3"/>
  <c r="C43" i="3"/>
  <c r="B43" i="3"/>
  <c r="A43" i="3"/>
  <c r="I42" i="3"/>
  <c r="H42" i="3"/>
  <c r="G42" i="3"/>
  <c r="F42" i="3"/>
  <c r="E42" i="3"/>
  <c r="D42" i="3"/>
  <c r="C42" i="3"/>
  <c r="B42" i="3"/>
  <c r="A42" i="3"/>
  <c r="I41" i="3"/>
  <c r="H41" i="3"/>
  <c r="G41" i="3"/>
  <c r="F41" i="3"/>
  <c r="E41" i="3"/>
  <c r="D41" i="3"/>
  <c r="C41" i="3"/>
  <c r="B41" i="3"/>
  <c r="A41" i="3"/>
  <c r="L40" i="3"/>
  <c r="I40" i="3"/>
  <c r="H40" i="3"/>
  <c r="G40" i="3"/>
  <c r="F40" i="3"/>
  <c r="E40" i="3"/>
  <c r="D40" i="3"/>
  <c r="C40" i="3"/>
  <c r="B40" i="3"/>
  <c r="A40" i="3"/>
  <c r="U39" i="3"/>
  <c r="T39" i="3"/>
  <c r="I39" i="3"/>
  <c r="H39" i="3"/>
  <c r="G39" i="3"/>
  <c r="F39" i="3"/>
  <c r="E39" i="3"/>
  <c r="D39" i="3"/>
  <c r="C39" i="3"/>
  <c r="B39" i="3"/>
  <c r="A39" i="3"/>
  <c r="I38" i="3"/>
  <c r="H38" i="3"/>
  <c r="G38" i="3"/>
  <c r="F38" i="3"/>
  <c r="E38" i="3"/>
  <c r="D38" i="3"/>
  <c r="C38" i="3"/>
  <c r="B38" i="3"/>
  <c r="A38" i="3"/>
  <c r="I37" i="3"/>
  <c r="H37" i="3"/>
  <c r="G37" i="3"/>
  <c r="F37" i="3"/>
  <c r="E37" i="3"/>
  <c r="D37" i="3"/>
  <c r="C37" i="3"/>
  <c r="B37" i="3"/>
  <c r="A37" i="3"/>
  <c r="I36" i="3"/>
  <c r="H36" i="3"/>
  <c r="G36" i="3"/>
  <c r="F36" i="3"/>
  <c r="E36" i="3"/>
  <c r="D36" i="3"/>
  <c r="C36" i="3"/>
  <c r="B36" i="3"/>
  <c r="A36" i="3"/>
  <c r="I35" i="3"/>
  <c r="H35" i="3"/>
  <c r="G35" i="3"/>
  <c r="F35" i="3"/>
  <c r="E35" i="3"/>
  <c r="D35" i="3"/>
  <c r="C35" i="3"/>
  <c r="B35" i="3"/>
  <c r="A35" i="3"/>
  <c r="I34" i="3"/>
  <c r="H34" i="3"/>
  <c r="G34" i="3"/>
  <c r="F34" i="3"/>
  <c r="E34" i="3"/>
  <c r="D34" i="3"/>
  <c r="C34" i="3"/>
  <c r="B34" i="3"/>
  <c r="A34" i="3"/>
  <c r="L33" i="3"/>
  <c r="I33" i="3"/>
  <c r="H33" i="3"/>
  <c r="G33" i="3"/>
  <c r="F33" i="3"/>
  <c r="E33" i="3"/>
  <c r="D33" i="3"/>
  <c r="C33" i="3"/>
  <c r="B33" i="3"/>
  <c r="A33" i="3"/>
  <c r="U32" i="3"/>
  <c r="T32" i="3"/>
  <c r="I32" i="3"/>
  <c r="H32" i="3"/>
  <c r="G32" i="3"/>
  <c r="F32" i="3"/>
  <c r="E32" i="3"/>
  <c r="D32" i="3"/>
  <c r="C32" i="3"/>
  <c r="B32" i="3"/>
  <c r="A32" i="3"/>
  <c r="I31" i="3"/>
  <c r="H31" i="3"/>
  <c r="G31" i="3"/>
  <c r="F31" i="3"/>
  <c r="E31" i="3"/>
  <c r="D31" i="3"/>
  <c r="C31" i="3"/>
  <c r="B31" i="3"/>
  <c r="A31" i="3"/>
  <c r="I30" i="3"/>
  <c r="H30" i="3"/>
  <c r="G30" i="3"/>
  <c r="F30" i="3"/>
  <c r="E30" i="3"/>
  <c r="D30" i="3"/>
  <c r="C30" i="3"/>
  <c r="B30" i="3"/>
  <c r="A30" i="3"/>
  <c r="I29" i="3"/>
  <c r="H29" i="3"/>
  <c r="G29" i="3"/>
  <c r="F29" i="3"/>
  <c r="E29" i="3"/>
  <c r="D29" i="3"/>
  <c r="C29" i="3"/>
  <c r="B29" i="3"/>
  <c r="A29" i="3"/>
  <c r="I28" i="3"/>
  <c r="H28" i="3"/>
  <c r="G28" i="3"/>
  <c r="F28" i="3"/>
  <c r="E28" i="3"/>
  <c r="C28" i="3"/>
  <c r="B28" i="3"/>
  <c r="A28" i="3"/>
  <c r="I27" i="3"/>
  <c r="H27" i="3"/>
  <c r="G27" i="3"/>
  <c r="F27" i="3"/>
  <c r="E27" i="3"/>
  <c r="D27" i="3"/>
  <c r="C27" i="3"/>
  <c r="B27" i="3"/>
  <c r="A27" i="3"/>
  <c r="L26" i="3"/>
  <c r="I26" i="3"/>
  <c r="H26" i="3"/>
  <c r="G26" i="3"/>
  <c r="F26" i="3"/>
  <c r="E26" i="3"/>
  <c r="D26" i="3"/>
  <c r="C26" i="3"/>
  <c r="B26" i="3"/>
  <c r="A26" i="3"/>
  <c r="U25" i="3"/>
  <c r="T25" i="3"/>
  <c r="I25" i="3"/>
  <c r="H25" i="3"/>
  <c r="G25" i="3"/>
  <c r="F25" i="3"/>
  <c r="E25" i="3"/>
  <c r="D25" i="3"/>
  <c r="C25" i="3"/>
  <c r="B25" i="3"/>
  <c r="A25" i="3"/>
  <c r="I24" i="3"/>
  <c r="H24" i="3"/>
  <c r="G24" i="3"/>
  <c r="F24" i="3"/>
  <c r="E24" i="3"/>
  <c r="D24" i="3"/>
  <c r="C24" i="3"/>
  <c r="B24" i="3"/>
  <c r="A24" i="3"/>
  <c r="I23" i="3"/>
  <c r="H23" i="3"/>
  <c r="G23" i="3"/>
  <c r="F23" i="3"/>
  <c r="E23" i="3"/>
  <c r="D23" i="3"/>
  <c r="C23" i="3"/>
  <c r="B23" i="3"/>
  <c r="A23" i="3"/>
  <c r="I22" i="3"/>
  <c r="H22" i="3"/>
  <c r="G22" i="3"/>
  <c r="F22" i="3"/>
  <c r="E22" i="3"/>
  <c r="D22" i="3"/>
  <c r="C22" i="3"/>
  <c r="B22" i="3"/>
  <c r="A22" i="3"/>
  <c r="I21" i="3"/>
  <c r="H21" i="3"/>
  <c r="G21" i="3"/>
  <c r="F21" i="3"/>
  <c r="E21" i="3"/>
  <c r="D21" i="3"/>
  <c r="C21" i="3"/>
  <c r="B21" i="3"/>
  <c r="A21" i="3"/>
  <c r="I20" i="3"/>
  <c r="H20" i="3"/>
  <c r="G20" i="3"/>
  <c r="F20" i="3"/>
  <c r="E20" i="3"/>
  <c r="D20" i="3"/>
  <c r="C20" i="3"/>
  <c r="B20" i="3"/>
  <c r="A20" i="3"/>
  <c r="L19" i="3"/>
  <c r="I19" i="3"/>
  <c r="H19" i="3"/>
  <c r="G19" i="3"/>
  <c r="F19" i="3"/>
  <c r="E19" i="3"/>
  <c r="D19" i="3"/>
  <c r="C19" i="3"/>
  <c r="B19" i="3"/>
  <c r="A19" i="3"/>
  <c r="U18" i="3"/>
  <c r="T18" i="3"/>
  <c r="I18" i="3"/>
  <c r="H18" i="3"/>
  <c r="G18" i="3"/>
  <c r="F18" i="3"/>
  <c r="E18" i="3"/>
  <c r="D18" i="3"/>
  <c r="C18" i="3"/>
  <c r="B18" i="3"/>
  <c r="A18" i="3"/>
  <c r="I17" i="3"/>
  <c r="H17" i="3"/>
  <c r="G17" i="3"/>
  <c r="F17" i="3"/>
  <c r="E17" i="3"/>
  <c r="D17" i="3"/>
  <c r="C17" i="3"/>
  <c r="B17" i="3"/>
  <c r="A17" i="3"/>
  <c r="I16" i="3"/>
  <c r="H16" i="3"/>
  <c r="G16" i="3"/>
  <c r="F16" i="3"/>
  <c r="E16" i="3"/>
  <c r="D16" i="3"/>
  <c r="C16" i="3"/>
  <c r="B16" i="3"/>
  <c r="A16" i="3"/>
  <c r="I15" i="3"/>
  <c r="H15" i="3"/>
  <c r="G15" i="3"/>
  <c r="F15" i="3"/>
  <c r="E15" i="3"/>
  <c r="D15" i="3"/>
  <c r="C15" i="3"/>
  <c r="B15" i="3"/>
  <c r="A15" i="3"/>
  <c r="I14" i="3"/>
  <c r="H14" i="3"/>
  <c r="G14" i="3"/>
  <c r="F14" i="3"/>
  <c r="E14" i="3"/>
  <c r="D14" i="3"/>
  <c r="C14" i="3"/>
  <c r="B14" i="3"/>
  <c r="A14" i="3"/>
  <c r="I13" i="3"/>
  <c r="H13" i="3"/>
  <c r="G13" i="3"/>
  <c r="F13" i="3"/>
  <c r="E13" i="3"/>
  <c r="D13" i="3"/>
  <c r="C13" i="3"/>
  <c r="B13" i="3"/>
  <c r="A13" i="3"/>
  <c r="L12" i="3"/>
  <c r="I12" i="3"/>
  <c r="H12" i="3"/>
  <c r="G12" i="3"/>
  <c r="F12" i="3"/>
  <c r="E12" i="3"/>
  <c r="D12" i="3"/>
  <c r="C12" i="3"/>
  <c r="B12" i="3"/>
  <c r="A12" i="3"/>
  <c r="U11" i="3"/>
  <c r="T11" i="3"/>
  <c r="I11" i="3"/>
  <c r="H11" i="3"/>
  <c r="G11" i="3"/>
  <c r="F11" i="3"/>
  <c r="E11" i="3"/>
  <c r="D11" i="3"/>
  <c r="C11" i="3"/>
  <c r="B11" i="3"/>
  <c r="A11" i="3"/>
  <c r="I10" i="3"/>
  <c r="H10" i="3"/>
  <c r="G10" i="3"/>
  <c r="F10" i="3"/>
  <c r="E10" i="3"/>
  <c r="D10" i="3"/>
  <c r="C10" i="3"/>
  <c r="B10" i="3"/>
  <c r="A10" i="3"/>
  <c r="I9" i="3"/>
  <c r="H9" i="3"/>
  <c r="G9" i="3"/>
  <c r="F9" i="3"/>
  <c r="E9" i="3"/>
  <c r="D9" i="3"/>
  <c r="C9" i="3"/>
  <c r="B9" i="3"/>
  <c r="A9" i="3"/>
  <c r="I8" i="3"/>
  <c r="H8" i="3"/>
  <c r="G8" i="3"/>
  <c r="F8" i="3"/>
  <c r="E8" i="3"/>
  <c r="D8" i="3"/>
  <c r="C8" i="3"/>
  <c r="B8" i="3"/>
  <c r="A8" i="3"/>
  <c r="I7" i="3"/>
  <c r="H7" i="3"/>
  <c r="G7" i="3"/>
  <c r="F7" i="3"/>
  <c r="E7" i="3"/>
  <c r="D7" i="3"/>
  <c r="C7" i="3"/>
  <c r="B7" i="3"/>
  <c r="A7" i="3"/>
  <c r="I6" i="3"/>
  <c r="H6" i="3"/>
  <c r="G6" i="3"/>
  <c r="F6" i="3"/>
  <c r="E6" i="3"/>
  <c r="D6" i="3"/>
  <c r="C6" i="3"/>
  <c r="B6" i="3"/>
  <c r="A6" i="3"/>
  <c r="I5" i="3"/>
  <c r="H5" i="3"/>
  <c r="G5" i="3"/>
  <c r="F5" i="3"/>
  <c r="E5" i="3"/>
  <c r="D5" i="3"/>
  <c r="C5" i="3"/>
  <c r="B5" i="3"/>
  <c r="A5" i="3"/>
  <c r="U4" i="3"/>
  <c r="T4" i="3"/>
  <c r="I4" i="3"/>
  <c r="H4" i="3"/>
  <c r="G4" i="3"/>
  <c r="F4" i="3"/>
  <c r="E4" i="3"/>
  <c r="D4" i="3"/>
  <c r="C4" i="3"/>
  <c r="B4" i="3"/>
  <c r="A4" i="3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03" i="3" s="1"/>
  <c r="L17" i="2"/>
  <c r="L96" i="3" s="1"/>
  <c r="L16" i="2"/>
  <c r="L89" i="3" s="1"/>
  <c r="L15" i="2"/>
  <c r="L82" i="3" s="1"/>
  <c r="L14" i="2"/>
  <c r="L75" i="3" s="1"/>
  <c r="L13" i="2"/>
  <c r="L12" i="2"/>
  <c r="L11" i="2"/>
  <c r="L10" i="2"/>
  <c r="L9" i="2"/>
  <c r="L8" i="2"/>
  <c r="L7" i="2"/>
  <c r="L6" i="2"/>
  <c r="L5" i="2"/>
  <c r="L4" i="2"/>
  <c r="L5" i="3" s="1"/>
  <c r="B31" i="1"/>
  <c r="H30" i="1"/>
  <c r="B30" i="1"/>
  <c r="B29" i="1"/>
  <c r="H28" i="1"/>
  <c r="B28" i="1"/>
  <c r="B27" i="1"/>
  <c r="C22" i="1"/>
  <c r="B22" i="1"/>
  <c r="C21" i="1"/>
  <c r="B21" i="1"/>
  <c r="C20" i="1"/>
  <c r="B20" i="1"/>
  <c r="C19" i="1"/>
  <c r="B19" i="1"/>
  <c r="C18" i="1"/>
  <c r="B18" i="1"/>
  <c r="C17" i="1"/>
  <c r="B17" i="1"/>
  <c r="J10" i="1"/>
  <c r="A5" i="1"/>
  <c r="A2" i="1"/>
  <c r="O202" i="3" l="1"/>
  <c r="K202" i="3"/>
  <c r="K190" i="3"/>
  <c r="O190" i="3"/>
  <c r="O167" i="3"/>
  <c r="K167" i="3"/>
  <c r="K132" i="3"/>
  <c r="O132" i="3"/>
  <c r="O121" i="3"/>
  <c r="K121" i="3"/>
  <c r="K63" i="3"/>
  <c r="O63" i="3"/>
  <c r="K51" i="3"/>
  <c r="O51" i="3"/>
  <c r="K28" i="3"/>
  <c r="O28" i="3"/>
  <c r="K5" i="3"/>
  <c r="M5" i="3" s="1"/>
  <c r="W5" i="3"/>
  <c r="O5" i="3"/>
  <c r="D22" i="1"/>
  <c r="D21" i="1"/>
  <c r="D20" i="1"/>
  <c r="D17" i="1"/>
  <c r="D18" i="1"/>
  <c r="D19" i="1"/>
  <c r="O213" i="3"/>
  <c r="K213" i="3"/>
  <c r="O212" i="3"/>
  <c r="K212" i="3"/>
  <c r="O211" i="3"/>
  <c r="K211" i="3"/>
  <c r="O210" i="3"/>
  <c r="K210" i="3"/>
  <c r="O209" i="3"/>
  <c r="K209" i="3"/>
  <c r="O208" i="3"/>
  <c r="K208" i="3"/>
  <c r="M208" i="3" s="1"/>
  <c r="K207" i="3"/>
  <c r="O207" i="3"/>
  <c r="L207" i="3"/>
  <c r="K206" i="3"/>
  <c r="O206" i="3"/>
  <c r="O205" i="3"/>
  <c r="K205" i="3"/>
  <c r="K204" i="3"/>
  <c r="O204" i="3"/>
  <c r="O203" i="3"/>
  <c r="K203" i="3"/>
  <c r="O201" i="3"/>
  <c r="O200" i="3" s="1"/>
  <c r="K201" i="3"/>
  <c r="L200" i="3"/>
  <c r="O199" i="3"/>
  <c r="K199" i="3"/>
  <c r="O198" i="3"/>
  <c r="K198" i="3"/>
  <c r="O197" i="3"/>
  <c r="K197" i="3"/>
  <c r="O196" i="3"/>
  <c r="K196" i="3"/>
  <c r="O195" i="3"/>
  <c r="K195" i="3"/>
  <c r="K194" i="3"/>
  <c r="O194" i="3"/>
  <c r="O193" i="3"/>
  <c r="L193" i="3"/>
  <c r="O192" i="3"/>
  <c r="K192" i="3"/>
  <c r="K191" i="3"/>
  <c r="O191" i="3"/>
  <c r="K189" i="3"/>
  <c r="O189" i="3"/>
  <c r="K188" i="3"/>
  <c r="O188" i="3"/>
  <c r="O187" i="3"/>
  <c r="K187" i="3"/>
  <c r="M187" i="3" s="1"/>
  <c r="O186" i="3"/>
  <c r="T30" i="2" s="1"/>
  <c r="K186" i="3"/>
  <c r="L186" i="3"/>
  <c r="N186" i="3"/>
  <c r="K185" i="3"/>
  <c r="O185" i="3"/>
  <c r="K184" i="3"/>
  <c r="O184" i="3"/>
  <c r="K183" i="3"/>
  <c r="O183" i="3"/>
  <c r="O182" i="3"/>
  <c r="K182" i="3"/>
  <c r="K181" i="3"/>
  <c r="O181" i="3"/>
  <c r="K180" i="3"/>
  <c r="M180" i="3" s="1"/>
  <c r="L181" i="3" s="1"/>
  <c r="M181" i="3" s="1"/>
  <c r="O180" i="3"/>
  <c r="V180" i="3"/>
  <c r="W180" i="3" s="1"/>
  <c r="O179" i="3"/>
  <c r="T29" i="2" s="1"/>
  <c r="N179" i="3"/>
  <c r="L179" i="3"/>
  <c r="K179" i="3"/>
  <c r="O178" i="3"/>
  <c r="K178" i="3"/>
  <c r="O177" i="3"/>
  <c r="K177" i="3"/>
  <c r="O176" i="3"/>
  <c r="K176" i="3"/>
  <c r="K175" i="3"/>
  <c r="O175" i="3"/>
  <c r="K174" i="3"/>
  <c r="O174" i="3"/>
  <c r="K173" i="3"/>
  <c r="M173" i="3" s="1"/>
  <c r="O173" i="3"/>
  <c r="L172" i="3"/>
  <c r="K172" i="3"/>
  <c r="O172" i="3"/>
  <c r="T28" i="2" s="1"/>
  <c r="N172" i="3"/>
  <c r="K171" i="3"/>
  <c r="O171" i="3"/>
  <c r="O170" i="3"/>
  <c r="K170" i="3"/>
  <c r="K169" i="3"/>
  <c r="O169" i="3"/>
  <c r="O168" i="3"/>
  <c r="K168" i="3"/>
  <c r="O166" i="3"/>
  <c r="K166" i="3"/>
  <c r="M166" i="3" s="1"/>
  <c r="O165" i="3"/>
  <c r="T27" i="2" s="1"/>
  <c r="N165" i="3"/>
  <c r="L165" i="3"/>
  <c r="K165" i="3"/>
  <c r="K164" i="3"/>
  <c r="O164" i="3"/>
  <c r="K163" i="3"/>
  <c r="O163" i="3"/>
  <c r="O162" i="3"/>
  <c r="K162" i="3"/>
  <c r="O161" i="3"/>
  <c r="K161" i="3"/>
  <c r="K160" i="3"/>
  <c r="O160" i="3"/>
  <c r="O159" i="3"/>
  <c r="K159" i="3"/>
  <c r="M159" i="3" s="1"/>
  <c r="O158" i="3"/>
  <c r="T26" i="2" s="1"/>
  <c r="N158" i="3"/>
  <c r="L158" i="3"/>
  <c r="K158" i="3"/>
  <c r="O157" i="3"/>
  <c r="O151" i="3" s="1"/>
  <c r="K157" i="3"/>
  <c r="K151" i="3" s="1"/>
  <c r="O156" i="3"/>
  <c r="K156" i="3"/>
  <c r="K155" i="3"/>
  <c r="O155" i="3"/>
  <c r="O154" i="3"/>
  <c r="K154" i="3"/>
  <c r="O153" i="3"/>
  <c r="K153" i="3"/>
  <c r="O152" i="3"/>
  <c r="K152" i="3"/>
  <c r="M152" i="3" s="1"/>
  <c r="L151" i="3"/>
  <c r="O150" i="3"/>
  <c r="K150" i="3"/>
  <c r="O149" i="3"/>
  <c r="K149" i="3"/>
  <c r="O148" i="3"/>
  <c r="K148" i="3"/>
  <c r="O147" i="3"/>
  <c r="K147" i="3"/>
  <c r="O146" i="3"/>
  <c r="K146" i="3"/>
  <c r="O145" i="3"/>
  <c r="K145" i="3"/>
  <c r="K143" i="3"/>
  <c r="O143" i="3"/>
  <c r="O142" i="3"/>
  <c r="K142" i="3"/>
  <c r="K141" i="3"/>
  <c r="O141" i="3"/>
  <c r="K140" i="3"/>
  <c r="O140" i="3"/>
  <c r="K139" i="3"/>
  <c r="O139" i="3"/>
  <c r="K138" i="3"/>
  <c r="O138" i="3"/>
  <c r="L137" i="3"/>
  <c r="K136" i="3"/>
  <c r="O136" i="3"/>
  <c r="O135" i="3"/>
  <c r="K135" i="3"/>
  <c r="K134" i="3"/>
  <c r="O134" i="3"/>
  <c r="K133" i="3"/>
  <c r="O133" i="3"/>
  <c r="O131" i="3"/>
  <c r="K131" i="3"/>
  <c r="M131" i="3" s="1"/>
  <c r="L130" i="3"/>
  <c r="K130" i="3"/>
  <c r="O130" i="3"/>
  <c r="K129" i="3"/>
  <c r="O129" i="3"/>
  <c r="K128" i="3"/>
  <c r="O128" i="3"/>
  <c r="K127" i="3"/>
  <c r="O127" i="3"/>
  <c r="K126" i="3"/>
  <c r="O126" i="3"/>
  <c r="K125" i="3"/>
  <c r="O125" i="3"/>
  <c r="K124" i="3"/>
  <c r="O124" i="3"/>
  <c r="L123" i="3"/>
  <c r="O122" i="3"/>
  <c r="K122" i="3"/>
  <c r="K120" i="3"/>
  <c r="O120" i="3"/>
  <c r="K119" i="3"/>
  <c r="O119" i="3"/>
  <c r="O118" i="3"/>
  <c r="K118" i="3"/>
  <c r="K117" i="3"/>
  <c r="M117" i="3" s="1"/>
  <c r="L118" i="3" s="1"/>
  <c r="M118" i="3" s="1"/>
  <c r="O117" i="3"/>
  <c r="V117" i="3"/>
  <c r="W117" i="3" s="1"/>
  <c r="O116" i="3"/>
  <c r="T20" i="2" s="1"/>
  <c r="N116" i="3"/>
  <c r="S20" i="2" s="1"/>
  <c r="K116" i="3"/>
  <c r="L116" i="3"/>
  <c r="O115" i="3"/>
  <c r="K115" i="3"/>
  <c r="K114" i="3"/>
  <c r="O114" i="3"/>
  <c r="K113" i="3"/>
  <c r="O113" i="3"/>
  <c r="O112" i="3"/>
  <c r="K112" i="3"/>
  <c r="K111" i="3"/>
  <c r="O111" i="3"/>
  <c r="K110" i="3"/>
  <c r="O110" i="3"/>
  <c r="O109" i="3" s="1"/>
  <c r="W110" i="3"/>
  <c r="O108" i="3"/>
  <c r="K108" i="3"/>
  <c r="K107" i="3"/>
  <c r="O107" i="3"/>
  <c r="K106" i="3"/>
  <c r="O106" i="3"/>
  <c r="O105" i="3"/>
  <c r="K105" i="3"/>
  <c r="K104" i="3"/>
  <c r="O104" i="3"/>
  <c r="O103" i="3"/>
  <c r="W103" i="3"/>
  <c r="K103" i="3"/>
  <c r="M103" i="3" s="1"/>
  <c r="L102" i="3"/>
  <c r="K102" i="3"/>
  <c r="O102" i="3"/>
  <c r="O101" i="3"/>
  <c r="K101" i="3"/>
  <c r="K100" i="3"/>
  <c r="O100" i="3"/>
  <c r="K99" i="3"/>
  <c r="O99" i="3"/>
  <c r="K98" i="3"/>
  <c r="O98" i="3"/>
  <c r="O97" i="3"/>
  <c r="K97" i="3"/>
  <c r="O96" i="3"/>
  <c r="K96" i="3"/>
  <c r="M96" i="3" s="1"/>
  <c r="O95" i="3"/>
  <c r="L95" i="3"/>
  <c r="K95" i="3"/>
  <c r="O94" i="3"/>
  <c r="K94" i="3"/>
  <c r="O93" i="3"/>
  <c r="K93" i="3"/>
  <c r="O92" i="3"/>
  <c r="K92" i="3"/>
  <c r="O91" i="3"/>
  <c r="K91" i="3"/>
  <c r="O90" i="3"/>
  <c r="K90" i="3"/>
  <c r="K89" i="3"/>
  <c r="M89" i="3" s="1"/>
  <c r="O89" i="3"/>
  <c r="W89" i="3"/>
  <c r="K88" i="3"/>
  <c r="L88" i="3"/>
  <c r="O88" i="3"/>
  <c r="K87" i="3"/>
  <c r="O87" i="3"/>
  <c r="O85" i="3"/>
  <c r="K85" i="3"/>
  <c r="O84" i="3"/>
  <c r="K84" i="3"/>
  <c r="O83" i="3"/>
  <c r="K83" i="3"/>
  <c r="W82" i="3"/>
  <c r="O82" i="3"/>
  <c r="O81" i="3" s="1"/>
  <c r="K82" i="3"/>
  <c r="L81" i="3"/>
  <c r="O80" i="3"/>
  <c r="K80" i="3"/>
  <c r="K79" i="3"/>
  <c r="O79" i="3"/>
  <c r="K78" i="3"/>
  <c r="O78" i="3"/>
  <c r="O77" i="3"/>
  <c r="K77" i="3"/>
  <c r="K76" i="3"/>
  <c r="O76" i="3"/>
  <c r="W75" i="3"/>
  <c r="K75" i="3"/>
  <c r="M75" i="3" s="1"/>
  <c r="O75" i="3"/>
  <c r="L74" i="3"/>
  <c r="O74" i="3"/>
  <c r="K74" i="3"/>
  <c r="O73" i="3"/>
  <c r="K73" i="3"/>
  <c r="O72" i="3"/>
  <c r="K72" i="3"/>
  <c r="O71" i="3"/>
  <c r="K71" i="3"/>
  <c r="O70" i="3"/>
  <c r="K70" i="3"/>
  <c r="O69" i="3"/>
  <c r="K69" i="3"/>
  <c r="W68" i="3"/>
  <c r="O68" i="3"/>
  <c r="K68" i="3"/>
  <c r="K67" i="3"/>
  <c r="O67" i="3"/>
  <c r="T13" i="2" s="1"/>
  <c r="N67" i="3"/>
  <c r="O66" i="3"/>
  <c r="K66" i="3"/>
  <c r="K65" i="3"/>
  <c r="O65" i="3"/>
  <c r="K64" i="3"/>
  <c r="O64" i="3"/>
  <c r="K62" i="3"/>
  <c r="O62" i="3"/>
  <c r="K61" i="3"/>
  <c r="O61" i="3"/>
  <c r="W61" i="3"/>
  <c r="L60" i="3"/>
  <c r="O59" i="3"/>
  <c r="K59" i="3"/>
  <c r="O58" i="3"/>
  <c r="K58" i="3"/>
  <c r="O57" i="3"/>
  <c r="K57" i="3"/>
  <c r="O56" i="3"/>
  <c r="K56" i="3"/>
  <c r="O55" i="3"/>
  <c r="K55" i="3"/>
  <c r="O54" i="3"/>
  <c r="K54" i="3"/>
  <c r="M54" i="3" s="1"/>
  <c r="W54" i="3"/>
  <c r="K53" i="3"/>
  <c r="O53" i="3"/>
  <c r="L53" i="3"/>
  <c r="O52" i="3"/>
  <c r="K52" i="3"/>
  <c r="O50" i="3"/>
  <c r="K50" i="3"/>
  <c r="O49" i="3"/>
  <c r="K49" i="3"/>
  <c r="O48" i="3"/>
  <c r="K48" i="3"/>
  <c r="K47" i="3"/>
  <c r="M47" i="3" s="1"/>
  <c r="O47" i="3"/>
  <c r="W47" i="3"/>
  <c r="O46" i="3"/>
  <c r="T10" i="2" s="1"/>
  <c r="N46" i="3"/>
  <c r="L46" i="3"/>
  <c r="K46" i="3"/>
  <c r="K45" i="3"/>
  <c r="O45" i="3"/>
  <c r="K44" i="3"/>
  <c r="O44" i="3"/>
  <c r="O43" i="3"/>
  <c r="K43" i="3"/>
  <c r="K42" i="3"/>
  <c r="O42" i="3"/>
  <c r="W41" i="3"/>
  <c r="O41" i="3"/>
  <c r="K41" i="3"/>
  <c r="K40" i="3"/>
  <c r="M40" i="3" s="1"/>
  <c r="W40" i="3"/>
  <c r="O40" i="3"/>
  <c r="L39" i="3"/>
  <c r="O39" i="3"/>
  <c r="K39" i="3"/>
  <c r="K38" i="3"/>
  <c r="O38" i="3"/>
  <c r="O37" i="3"/>
  <c r="K37" i="3"/>
  <c r="O36" i="3"/>
  <c r="K36" i="3"/>
  <c r="O35" i="3"/>
  <c r="K35" i="3"/>
  <c r="K34" i="3"/>
  <c r="O34" i="3"/>
  <c r="W33" i="3"/>
  <c r="K33" i="3"/>
  <c r="M33" i="3" s="1"/>
  <c r="O33" i="3"/>
  <c r="L32" i="3"/>
  <c r="O32" i="3"/>
  <c r="K31" i="3"/>
  <c r="O31" i="3"/>
  <c r="K30" i="3"/>
  <c r="O30" i="3"/>
  <c r="O29" i="3"/>
  <c r="K29" i="3"/>
  <c r="K27" i="3"/>
  <c r="O27" i="3"/>
  <c r="W26" i="3"/>
  <c r="K26" i="3"/>
  <c r="M26" i="3" s="1"/>
  <c r="O26" i="3"/>
  <c r="L25" i="3"/>
  <c r="O25" i="3"/>
  <c r="K25" i="3"/>
  <c r="O24" i="3"/>
  <c r="K24" i="3"/>
  <c r="O23" i="3"/>
  <c r="K23" i="3"/>
  <c r="O22" i="3"/>
  <c r="K22" i="3"/>
  <c r="W21" i="3"/>
  <c r="O21" i="3"/>
  <c r="K21" i="3"/>
  <c r="W20" i="3"/>
  <c r="K20" i="3"/>
  <c r="O20" i="3"/>
  <c r="O19" i="3"/>
  <c r="K19" i="3"/>
  <c r="M19" i="3" s="1"/>
  <c r="W19" i="3"/>
  <c r="L18" i="3"/>
  <c r="O18" i="3"/>
  <c r="K17" i="3"/>
  <c r="O17" i="3"/>
  <c r="O16" i="3"/>
  <c r="K16" i="3"/>
  <c r="K15" i="3"/>
  <c r="O15" i="3"/>
  <c r="K14" i="3"/>
  <c r="W14" i="3"/>
  <c r="O14" i="3"/>
  <c r="O11" i="3" s="1"/>
  <c r="K13" i="3"/>
  <c r="W13" i="3"/>
  <c r="O13" i="3"/>
  <c r="K12" i="3"/>
  <c r="M12" i="3" s="1"/>
  <c r="W12" i="3"/>
  <c r="O12" i="3"/>
  <c r="L11" i="3"/>
  <c r="K10" i="3"/>
  <c r="O10" i="3"/>
  <c r="K9" i="3"/>
  <c r="O9" i="3"/>
  <c r="K8" i="3"/>
  <c r="O8" i="3"/>
  <c r="K7" i="3"/>
  <c r="O7" i="3"/>
  <c r="W7" i="3"/>
  <c r="W6" i="3"/>
  <c r="O6" i="3"/>
  <c r="K6" i="3"/>
  <c r="V5" i="3"/>
  <c r="L6" i="3"/>
  <c r="M6" i="3" s="1"/>
  <c r="K4" i="3"/>
  <c r="L4" i="3"/>
  <c r="H26" i="1"/>
  <c r="L68" i="3"/>
  <c r="K32" i="3" l="1"/>
  <c r="K18" i="3"/>
  <c r="M194" i="3"/>
  <c r="K193" i="3"/>
  <c r="T31" i="2"/>
  <c r="N193" i="3"/>
  <c r="T22" i="2"/>
  <c r="N130" i="3"/>
  <c r="M82" i="3"/>
  <c r="K81" i="3"/>
  <c r="T14" i="2"/>
  <c r="N74" i="3"/>
  <c r="O144" i="3"/>
  <c r="O137" i="3"/>
  <c r="O123" i="3"/>
  <c r="O60" i="3"/>
  <c r="L48" i="3"/>
  <c r="M48" i="3" s="1"/>
  <c r="V47" i="3"/>
  <c r="L41" i="3"/>
  <c r="M41" i="3" s="1"/>
  <c r="V40" i="3"/>
  <c r="L27" i="3"/>
  <c r="M27" i="3" s="1"/>
  <c r="V27" i="3" s="1"/>
  <c r="W27" i="3" s="1"/>
  <c r="V26" i="3"/>
  <c r="T6" i="2"/>
  <c r="N18" i="3"/>
  <c r="K11" i="3"/>
  <c r="L13" i="3"/>
  <c r="M13" i="3" s="1"/>
  <c r="V12" i="3"/>
  <c r="O4" i="3"/>
  <c r="T24" i="2"/>
  <c r="N144" i="3"/>
  <c r="M145" i="3"/>
  <c r="K144" i="3"/>
  <c r="K109" i="3"/>
  <c r="M110" i="3"/>
  <c r="T19" i="2"/>
  <c r="N109" i="3"/>
  <c r="S14" i="2"/>
  <c r="L209" i="3"/>
  <c r="M209" i="3" s="1"/>
  <c r="V208" i="3"/>
  <c r="W208" i="3" s="1"/>
  <c r="T33" i="2"/>
  <c r="N207" i="3"/>
  <c r="N200" i="3"/>
  <c r="T32" i="2"/>
  <c r="M201" i="3"/>
  <c r="K200" i="3"/>
  <c r="L195" i="3"/>
  <c r="M195" i="3" s="1"/>
  <c r="V194" i="3"/>
  <c r="W194" i="3" s="1"/>
  <c r="S31" i="2"/>
  <c r="L188" i="3"/>
  <c r="M188" i="3" s="1"/>
  <c r="V187" i="3"/>
  <c r="W187" i="3" s="1"/>
  <c r="S30" i="2"/>
  <c r="L182" i="3"/>
  <c r="M182" i="3" s="1"/>
  <c r="V181" i="3"/>
  <c r="W181" i="3" s="1"/>
  <c r="S29" i="2"/>
  <c r="L174" i="3"/>
  <c r="M174" i="3" s="1"/>
  <c r="V173" i="3"/>
  <c r="W173" i="3" s="1"/>
  <c r="S28" i="2"/>
  <c r="L167" i="3"/>
  <c r="M167" i="3" s="1"/>
  <c r="V166" i="3"/>
  <c r="W166" i="3" s="1"/>
  <c r="S27" i="2"/>
  <c r="L160" i="3"/>
  <c r="M160" i="3" s="1"/>
  <c r="V159" i="3"/>
  <c r="W159" i="3" s="1"/>
  <c r="S26" i="2"/>
  <c r="L153" i="3"/>
  <c r="M153" i="3" s="1"/>
  <c r="V152" i="3"/>
  <c r="W152" i="3" s="1"/>
  <c r="T25" i="2"/>
  <c r="N151" i="3"/>
  <c r="M138" i="3"/>
  <c r="K137" i="3"/>
  <c r="L132" i="3"/>
  <c r="M132" i="3" s="1"/>
  <c r="V131" i="3"/>
  <c r="W131" i="3" s="1"/>
  <c r="S22" i="2"/>
  <c r="M124" i="3"/>
  <c r="K123" i="3"/>
  <c r="L119" i="3"/>
  <c r="M119" i="3" s="1"/>
  <c r="V118" i="3"/>
  <c r="W118" i="3" s="1"/>
  <c r="L104" i="3"/>
  <c r="M104" i="3" s="1"/>
  <c r="V103" i="3"/>
  <c r="T18" i="2"/>
  <c r="N102" i="3"/>
  <c r="L97" i="3"/>
  <c r="M97" i="3" s="1"/>
  <c r="V96" i="3"/>
  <c r="W96" i="3" s="1"/>
  <c r="T17" i="2"/>
  <c r="N95" i="3"/>
  <c r="L90" i="3"/>
  <c r="M90" i="3" s="1"/>
  <c r="V89" i="3"/>
  <c r="T16" i="2"/>
  <c r="N88" i="3"/>
  <c r="L83" i="3"/>
  <c r="M83" i="3" s="1"/>
  <c r="V82" i="3"/>
  <c r="T15" i="2"/>
  <c r="N81" i="3"/>
  <c r="L76" i="3"/>
  <c r="M76" i="3" s="1"/>
  <c r="V75" i="3"/>
  <c r="S13" i="2"/>
  <c r="M61" i="3"/>
  <c r="K60" i="3"/>
  <c r="L55" i="3"/>
  <c r="M55" i="3" s="1"/>
  <c r="V54" i="3"/>
  <c r="T11" i="2"/>
  <c r="N53" i="3"/>
  <c r="L49" i="3"/>
  <c r="M49" i="3" s="1"/>
  <c r="V48" i="3"/>
  <c r="W48" i="3" s="1"/>
  <c r="S10" i="2"/>
  <c r="L42" i="3"/>
  <c r="M42" i="3" s="1"/>
  <c r="V41" i="3"/>
  <c r="T9" i="2"/>
  <c r="N39" i="3"/>
  <c r="L34" i="3"/>
  <c r="M34" i="3" s="1"/>
  <c r="V33" i="3"/>
  <c r="T8" i="2"/>
  <c r="N32" i="3"/>
  <c r="L28" i="3"/>
  <c r="M28" i="3" s="1"/>
  <c r="T7" i="2"/>
  <c r="N25" i="3"/>
  <c r="L20" i="3"/>
  <c r="M20" i="3" s="1"/>
  <c r="V19" i="3"/>
  <c r="L7" i="3"/>
  <c r="M7" i="3" s="1"/>
  <c r="V6" i="3"/>
  <c r="M68" i="3"/>
  <c r="L67" i="3"/>
  <c r="L14" i="3" l="1"/>
  <c r="M14" i="3" s="1"/>
  <c r="V13" i="3"/>
  <c r="T23" i="2"/>
  <c r="N137" i="3"/>
  <c r="S23" i="2" s="1"/>
  <c r="T21" i="2"/>
  <c r="N123" i="3"/>
  <c r="S21" i="2" s="1"/>
  <c r="N60" i="3"/>
  <c r="S12" i="2" s="1"/>
  <c r="T12" i="2"/>
  <c r="S6" i="2"/>
  <c r="N11" i="3"/>
  <c r="S5" i="2" s="1"/>
  <c r="T5" i="2"/>
  <c r="T4" i="2"/>
  <c r="D5" i="1" s="1"/>
  <c r="N4" i="3"/>
  <c r="S4" i="2" s="1"/>
  <c r="S24" i="2"/>
  <c r="V145" i="3"/>
  <c r="W145" i="3" s="1"/>
  <c r="L146" i="3"/>
  <c r="M146" i="3" s="1"/>
  <c r="V110" i="3"/>
  <c r="L111" i="3"/>
  <c r="M111" i="3" s="1"/>
  <c r="S19" i="2"/>
  <c r="V209" i="3"/>
  <c r="W209" i="3" s="1"/>
  <c r="L210" i="3"/>
  <c r="M210" i="3" s="1"/>
  <c r="S33" i="2"/>
  <c r="S32" i="2"/>
  <c r="V201" i="3"/>
  <c r="W201" i="3" s="1"/>
  <c r="L202" i="3"/>
  <c r="M202" i="3" s="1"/>
  <c r="V195" i="3"/>
  <c r="W195" i="3" s="1"/>
  <c r="L196" i="3"/>
  <c r="M196" i="3" s="1"/>
  <c r="V188" i="3"/>
  <c r="W188" i="3" s="1"/>
  <c r="L189" i="3"/>
  <c r="M189" i="3" s="1"/>
  <c r="V182" i="3"/>
  <c r="W182" i="3" s="1"/>
  <c r="L183" i="3"/>
  <c r="M183" i="3" s="1"/>
  <c r="V174" i="3"/>
  <c r="W174" i="3" s="1"/>
  <c r="L175" i="3"/>
  <c r="M175" i="3" s="1"/>
  <c r="L168" i="3"/>
  <c r="M168" i="3" s="1"/>
  <c r="V167" i="3"/>
  <c r="W167" i="3" s="1"/>
  <c r="V160" i="3"/>
  <c r="W160" i="3" s="1"/>
  <c r="L161" i="3"/>
  <c r="M161" i="3" s="1"/>
  <c r="V153" i="3"/>
  <c r="W153" i="3" s="1"/>
  <c r="L154" i="3"/>
  <c r="M154" i="3" s="1"/>
  <c r="S25" i="2"/>
  <c r="V138" i="3"/>
  <c r="W138" i="3" s="1"/>
  <c r="L139" i="3"/>
  <c r="M139" i="3" s="1"/>
  <c r="L133" i="3"/>
  <c r="M133" i="3" s="1"/>
  <c r="V132" i="3"/>
  <c r="W132" i="3" s="1"/>
  <c r="V124" i="3"/>
  <c r="W124" i="3" s="1"/>
  <c r="L125" i="3"/>
  <c r="M125" i="3" s="1"/>
  <c r="V119" i="3"/>
  <c r="W119" i="3" s="1"/>
  <c r="L120" i="3"/>
  <c r="M120" i="3" s="1"/>
  <c r="V104" i="3"/>
  <c r="W104" i="3" s="1"/>
  <c r="L105" i="3"/>
  <c r="M105" i="3" s="1"/>
  <c r="S18" i="2"/>
  <c r="V97" i="3"/>
  <c r="W97" i="3" s="1"/>
  <c r="L98" i="3"/>
  <c r="M98" i="3" s="1"/>
  <c r="S17" i="2"/>
  <c r="V90" i="3"/>
  <c r="W90" i="3" s="1"/>
  <c r="L91" i="3"/>
  <c r="M91" i="3" s="1"/>
  <c r="S16" i="2"/>
  <c r="V83" i="3"/>
  <c r="W83" i="3" s="1"/>
  <c r="L84" i="3"/>
  <c r="M84" i="3" s="1"/>
  <c r="S15" i="2"/>
  <c r="V76" i="3"/>
  <c r="W76" i="3" s="1"/>
  <c r="L77" i="3"/>
  <c r="M77" i="3" s="1"/>
  <c r="V61" i="3"/>
  <c r="L62" i="3"/>
  <c r="M62" i="3" s="1"/>
  <c r="V55" i="3"/>
  <c r="W55" i="3" s="1"/>
  <c r="L56" i="3"/>
  <c r="M56" i="3" s="1"/>
  <c r="S11" i="2"/>
  <c r="V49" i="3"/>
  <c r="W49" i="3" s="1"/>
  <c r="L50" i="3"/>
  <c r="M50" i="3" s="1"/>
  <c r="V42" i="3"/>
  <c r="W42" i="3" s="1"/>
  <c r="L43" i="3"/>
  <c r="M43" i="3" s="1"/>
  <c r="S9" i="2"/>
  <c r="V34" i="3"/>
  <c r="W34" i="3" s="1"/>
  <c r="L35" i="3"/>
  <c r="M35" i="3" s="1"/>
  <c r="S8" i="2"/>
  <c r="V28" i="3"/>
  <c r="W28" i="3" s="1"/>
  <c r="L29" i="3"/>
  <c r="M29" i="3" s="1"/>
  <c r="S7" i="2"/>
  <c r="C28" i="1" s="1"/>
  <c r="V20" i="3"/>
  <c r="L21" i="3"/>
  <c r="M21" i="3" s="1"/>
  <c r="V7" i="3"/>
  <c r="L8" i="3"/>
  <c r="M8" i="3" s="1"/>
  <c r="V68" i="3"/>
  <c r="L69" i="3"/>
  <c r="M69" i="3" s="1"/>
  <c r="L15" i="3" l="1"/>
  <c r="M15" i="3" s="1"/>
  <c r="V14" i="3"/>
  <c r="D10" i="1"/>
  <c r="C27" i="1"/>
  <c r="C29" i="1"/>
  <c r="V146" i="3"/>
  <c r="W146" i="3" s="1"/>
  <c r="L147" i="3"/>
  <c r="M147" i="3" s="1"/>
  <c r="V111" i="3"/>
  <c r="W111" i="3" s="1"/>
  <c r="L112" i="3"/>
  <c r="M112" i="3" s="1"/>
  <c r="V15" i="3"/>
  <c r="W15" i="3" s="1"/>
  <c r="L16" i="3"/>
  <c r="M16" i="3" s="1"/>
  <c r="V210" i="3"/>
  <c r="W210" i="3" s="1"/>
  <c r="L211" i="3"/>
  <c r="M211" i="3" s="1"/>
  <c r="L203" i="3"/>
  <c r="M203" i="3" s="1"/>
  <c r="V202" i="3"/>
  <c r="W202" i="3" s="1"/>
  <c r="V196" i="3"/>
  <c r="W196" i="3" s="1"/>
  <c r="L197" i="3"/>
  <c r="M197" i="3" s="1"/>
  <c r="V189" i="3"/>
  <c r="W189" i="3" s="1"/>
  <c r="L190" i="3"/>
  <c r="M190" i="3" s="1"/>
  <c r="V183" i="3"/>
  <c r="W183" i="3" s="1"/>
  <c r="L184" i="3"/>
  <c r="M184" i="3" s="1"/>
  <c r="V175" i="3"/>
  <c r="W175" i="3" s="1"/>
  <c r="L176" i="3"/>
  <c r="M176" i="3" s="1"/>
  <c r="V168" i="3"/>
  <c r="W168" i="3" s="1"/>
  <c r="L169" i="3"/>
  <c r="M169" i="3" s="1"/>
  <c r="V161" i="3"/>
  <c r="W161" i="3" s="1"/>
  <c r="L162" i="3"/>
  <c r="M162" i="3" s="1"/>
  <c r="V154" i="3"/>
  <c r="W154" i="3" s="1"/>
  <c r="L155" i="3"/>
  <c r="M155" i="3" s="1"/>
  <c r="V139" i="3"/>
  <c r="W139" i="3" s="1"/>
  <c r="L140" i="3"/>
  <c r="M140" i="3" s="1"/>
  <c r="V133" i="3"/>
  <c r="W133" i="3" s="1"/>
  <c r="L134" i="3"/>
  <c r="M134" i="3" s="1"/>
  <c r="V125" i="3"/>
  <c r="W125" i="3" s="1"/>
  <c r="L126" i="3"/>
  <c r="M126" i="3" s="1"/>
  <c r="V120" i="3"/>
  <c r="W120" i="3" s="1"/>
  <c r="L121" i="3"/>
  <c r="M121" i="3" s="1"/>
  <c r="V105" i="3"/>
  <c r="W105" i="3" s="1"/>
  <c r="L106" i="3"/>
  <c r="M106" i="3" s="1"/>
  <c r="V98" i="3"/>
  <c r="W98" i="3" s="1"/>
  <c r="L99" i="3"/>
  <c r="M99" i="3" s="1"/>
  <c r="V91" i="3"/>
  <c r="W91" i="3" s="1"/>
  <c r="L92" i="3"/>
  <c r="M92" i="3" s="1"/>
  <c r="V84" i="3"/>
  <c r="W84" i="3" s="1"/>
  <c r="L85" i="3"/>
  <c r="M85" i="3" s="1"/>
  <c r="V77" i="3"/>
  <c r="W77" i="3" s="1"/>
  <c r="L78" i="3"/>
  <c r="M78" i="3" s="1"/>
  <c r="V62" i="3"/>
  <c r="W62" i="3" s="1"/>
  <c r="L63" i="3"/>
  <c r="M63" i="3" s="1"/>
  <c r="V56" i="3"/>
  <c r="W56" i="3" s="1"/>
  <c r="L57" i="3"/>
  <c r="M57" i="3" s="1"/>
  <c r="V50" i="3"/>
  <c r="W50" i="3" s="1"/>
  <c r="L51" i="3"/>
  <c r="M51" i="3" s="1"/>
  <c r="V43" i="3"/>
  <c r="W43" i="3" s="1"/>
  <c r="L44" i="3"/>
  <c r="M44" i="3" s="1"/>
  <c r="V35" i="3"/>
  <c r="W35" i="3" s="1"/>
  <c r="L36" i="3"/>
  <c r="M36" i="3" s="1"/>
  <c r="V29" i="3"/>
  <c r="W29" i="3" s="1"/>
  <c r="L30" i="3"/>
  <c r="M30" i="3" s="1"/>
  <c r="V21" i="3"/>
  <c r="L22" i="3"/>
  <c r="M22" i="3" s="1"/>
  <c r="V8" i="3"/>
  <c r="W8" i="3" s="1"/>
  <c r="L9" i="3"/>
  <c r="M9" i="3" s="1"/>
  <c r="V69" i="3"/>
  <c r="W69" i="3" s="1"/>
  <c r="L70" i="3"/>
  <c r="M70" i="3" s="1"/>
  <c r="C30" i="1"/>
  <c r="C31" i="1"/>
  <c r="A10" i="1"/>
  <c r="G10" i="1"/>
  <c r="G5" i="1"/>
  <c r="V147" i="3" l="1"/>
  <c r="W147" i="3" s="1"/>
  <c r="L148" i="3"/>
  <c r="M148" i="3" s="1"/>
  <c r="V112" i="3"/>
  <c r="W112" i="3" s="1"/>
  <c r="L113" i="3"/>
  <c r="M113" i="3" s="1"/>
  <c r="L17" i="3"/>
  <c r="M17" i="3" s="1"/>
  <c r="V16" i="3"/>
  <c r="W16" i="3" s="1"/>
  <c r="V211" i="3"/>
  <c r="W211" i="3" s="1"/>
  <c r="L212" i="3"/>
  <c r="M212" i="3" s="1"/>
  <c r="V203" i="3"/>
  <c r="W203" i="3" s="1"/>
  <c r="L204" i="3"/>
  <c r="M204" i="3" s="1"/>
  <c r="V197" i="3"/>
  <c r="W197" i="3" s="1"/>
  <c r="L198" i="3"/>
  <c r="M198" i="3" s="1"/>
  <c r="L191" i="3"/>
  <c r="M191" i="3" s="1"/>
  <c r="V190" i="3"/>
  <c r="W190" i="3" s="1"/>
  <c r="V184" i="3"/>
  <c r="W184" i="3" s="1"/>
  <c r="L185" i="3"/>
  <c r="M185" i="3" s="1"/>
  <c r="V176" i="3"/>
  <c r="W176" i="3" s="1"/>
  <c r="L177" i="3"/>
  <c r="M177" i="3" s="1"/>
  <c r="V169" i="3"/>
  <c r="W169" i="3" s="1"/>
  <c r="L170" i="3"/>
  <c r="M170" i="3" s="1"/>
  <c r="V162" i="3"/>
  <c r="W162" i="3" s="1"/>
  <c r="L163" i="3"/>
  <c r="M163" i="3" s="1"/>
  <c r="V155" i="3"/>
  <c r="W155" i="3" s="1"/>
  <c r="L156" i="3"/>
  <c r="M156" i="3" s="1"/>
  <c r="V140" i="3"/>
  <c r="W140" i="3" s="1"/>
  <c r="L141" i="3"/>
  <c r="M141" i="3" s="1"/>
  <c r="V134" i="3"/>
  <c r="W134" i="3" s="1"/>
  <c r="L135" i="3"/>
  <c r="M135" i="3" s="1"/>
  <c r="V126" i="3"/>
  <c r="W126" i="3" s="1"/>
  <c r="L127" i="3"/>
  <c r="M127" i="3" s="1"/>
  <c r="L122" i="3"/>
  <c r="M122" i="3" s="1"/>
  <c r="V121" i="3"/>
  <c r="W121" i="3" s="1"/>
  <c r="V106" i="3"/>
  <c r="W106" i="3" s="1"/>
  <c r="L107" i="3"/>
  <c r="M107" i="3" s="1"/>
  <c r="V99" i="3"/>
  <c r="W99" i="3" s="1"/>
  <c r="L100" i="3"/>
  <c r="M100" i="3" s="1"/>
  <c r="V92" i="3"/>
  <c r="W92" i="3" s="1"/>
  <c r="L93" i="3"/>
  <c r="M93" i="3" s="1"/>
  <c r="V85" i="3"/>
  <c r="W85" i="3" s="1"/>
  <c r="L86" i="3"/>
  <c r="M86" i="3" s="1"/>
  <c r="V78" i="3"/>
  <c r="W78" i="3" s="1"/>
  <c r="L79" i="3"/>
  <c r="M79" i="3" s="1"/>
  <c r="V63" i="3"/>
  <c r="W63" i="3" s="1"/>
  <c r="L64" i="3"/>
  <c r="M64" i="3" s="1"/>
  <c r="V57" i="3"/>
  <c r="W57" i="3" s="1"/>
  <c r="L58" i="3"/>
  <c r="M58" i="3" s="1"/>
  <c r="V51" i="3"/>
  <c r="W51" i="3" s="1"/>
  <c r="L52" i="3"/>
  <c r="M52" i="3" s="1"/>
  <c r="V44" i="3"/>
  <c r="W44" i="3" s="1"/>
  <c r="L45" i="3"/>
  <c r="M45" i="3" s="1"/>
  <c r="V36" i="3"/>
  <c r="W36" i="3" s="1"/>
  <c r="L37" i="3"/>
  <c r="M37" i="3" s="1"/>
  <c r="V30" i="3"/>
  <c r="W30" i="3" s="1"/>
  <c r="L31" i="3"/>
  <c r="M31" i="3" s="1"/>
  <c r="V22" i="3"/>
  <c r="W22" i="3" s="1"/>
  <c r="L23" i="3"/>
  <c r="M23" i="3" s="1"/>
  <c r="V9" i="3"/>
  <c r="W9" i="3" s="1"/>
  <c r="L10" i="3"/>
  <c r="M10" i="3" s="1"/>
  <c r="V70" i="3"/>
  <c r="W70" i="3" s="1"/>
  <c r="L71" i="3"/>
  <c r="M71" i="3" s="1"/>
  <c r="V185" i="3" l="1"/>
  <c r="W185" i="3" s="1"/>
  <c r="M179" i="3"/>
  <c r="V86" i="3"/>
  <c r="W86" i="3" s="1"/>
  <c r="L87" i="3"/>
  <c r="M87" i="3" s="1"/>
  <c r="V45" i="3"/>
  <c r="W45" i="3" s="1"/>
  <c r="M39" i="3"/>
  <c r="V10" i="3"/>
  <c r="W10" i="3" s="1"/>
  <c r="M4" i="3"/>
  <c r="V148" i="3"/>
  <c r="W148" i="3" s="1"/>
  <c r="L149" i="3"/>
  <c r="M149" i="3" s="1"/>
  <c r="V113" i="3"/>
  <c r="W113" i="3" s="1"/>
  <c r="L114" i="3"/>
  <c r="M114" i="3" s="1"/>
  <c r="V17" i="3"/>
  <c r="W17" i="3" s="1"/>
  <c r="M11" i="3"/>
  <c r="V212" i="3"/>
  <c r="W212" i="3" s="1"/>
  <c r="L213" i="3"/>
  <c r="M213" i="3" s="1"/>
  <c r="V204" i="3"/>
  <c r="W204" i="3" s="1"/>
  <c r="L205" i="3"/>
  <c r="M205" i="3" s="1"/>
  <c r="V198" i="3"/>
  <c r="W198" i="3" s="1"/>
  <c r="L199" i="3"/>
  <c r="M199" i="3" s="1"/>
  <c r="V191" i="3"/>
  <c r="W191" i="3" s="1"/>
  <c r="L192" i="3"/>
  <c r="M192" i="3" s="1"/>
  <c r="V177" i="3"/>
  <c r="W177" i="3" s="1"/>
  <c r="L178" i="3"/>
  <c r="M178" i="3" s="1"/>
  <c r="V170" i="3"/>
  <c r="W170" i="3" s="1"/>
  <c r="L171" i="3"/>
  <c r="M171" i="3" s="1"/>
  <c r="V163" i="3"/>
  <c r="W163" i="3" s="1"/>
  <c r="L164" i="3"/>
  <c r="M164" i="3" s="1"/>
  <c r="V156" i="3"/>
  <c r="W156" i="3" s="1"/>
  <c r="L157" i="3"/>
  <c r="M157" i="3" s="1"/>
  <c r="V141" i="3"/>
  <c r="W141" i="3" s="1"/>
  <c r="L142" i="3"/>
  <c r="M142" i="3" s="1"/>
  <c r="V135" i="3"/>
  <c r="W135" i="3" s="1"/>
  <c r="L136" i="3"/>
  <c r="M136" i="3" s="1"/>
  <c r="V127" i="3"/>
  <c r="W127" i="3" s="1"/>
  <c r="L128" i="3"/>
  <c r="M128" i="3" s="1"/>
  <c r="M116" i="3"/>
  <c r="V122" i="3"/>
  <c r="W122" i="3" s="1"/>
  <c r="V107" i="3"/>
  <c r="W107" i="3" s="1"/>
  <c r="L108" i="3"/>
  <c r="M108" i="3" s="1"/>
  <c r="V100" i="3"/>
  <c r="W100" i="3" s="1"/>
  <c r="L101" i="3"/>
  <c r="M101" i="3" s="1"/>
  <c r="V93" i="3"/>
  <c r="W93" i="3" s="1"/>
  <c r="L94" i="3"/>
  <c r="M94" i="3" s="1"/>
  <c r="V79" i="3"/>
  <c r="W79" i="3" s="1"/>
  <c r="L80" i="3"/>
  <c r="M80" i="3" s="1"/>
  <c r="V64" i="3"/>
  <c r="W64" i="3" s="1"/>
  <c r="L65" i="3"/>
  <c r="M65" i="3" s="1"/>
  <c r="V58" i="3"/>
  <c r="W58" i="3" s="1"/>
  <c r="L59" i="3"/>
  <c r="M59" i="3" s="1"/>
  <c r="M46" i="3"/>
  <c r="V52" i="3"/>
  <c r="W52" i="3" s="1"/>
  <c r="V37" i="3"/>
  <c r="W37" i="3" s="1"/>
  <c r="L38" i="3"/>
  <c r="M38" i="3" s="1"/>
  <c r="M25" i="3"/>
  <c r="V31" i="3"/>
  <c r="W31" i="3" s="1"/>
  <c r="V23" i="3"/>
  <c r="W23" i="3" s="1"/>
  <c r="L24" i="3"/>
  <c r="M24" i="3" s="1"/>
  <c r="V71" i="3"/>
  <c r="W71" i="3" s="1"/>
  <c r="L72" i="3"/>
  <c r="M72" i="3" s="1"/>
  <c r="V179" i="3" l="1"/>
  <c r="W179" i="3" s="1"/>
  <c r="V29" i="2" s="1"/>
  <c r="U29" i="2"/>
  <c r="M81" i="3"/>
  <c r="V87" i="3"/>
  <c r="W87" i="3" s="1"/>
  <c r="V39" i="3"/>
  <c r="W39" i="3" s="1"/>
  <c r="V9" i="2" s="1"/>
  <c r="U9" i="2"/>
  <c r="V213" i="3"/>
  <c r="W213" i="3" s="1"/>
  <c r="M207" i="3"/>
  <c r="V164" i="3"/>
  <c r="W164" i="3" s="1"/>
  <c r="M158" i="3"/>
  <c r="V59" i="3"/>
  <c r="W59" i="3" s="1"/>
  <c r="M53" i="3"/>
  <c r="V38" i="3"/>
  <c r="W38" i="3" s="1"/>
  <c r="M32" i="3"/>
  <c r="V24" i="3"/>
  <c r="W24" i="3" s="1"/>
  <c r="M18" i="3"/>
  <c r="V4" i="3"/>
  <c r="W4" i="3" s="1"/>
  <c r="V4" i="2" s="1"/>
  <c r="U4" i="2"/>
  <c r="V149" i="3"/>
  <c r="W149" i="3" s="1"/>
  <c r="L150" i="3"/>
  <c r="M150" i="3" s="1"/>
  <c r="V114" i="3"/>
  <c r="W114" i="3" s="1"/>
  <c r="L115" i="3"/>
  <c r="M115" i="3" s="1"/>
  <c r="V11" i="3"/>
  <c r="W11" i="3" s="1"/>
  <c r="V5" i="2" s="1"/>
  <c r="U5" i="2"/>
  <c r="V205" i="3"/>
  <c r="W205" i="3" s="1"/>
  <c r="L206" i="3"/>
  <c r="M206" i="3" s="1"/>
  <c r="M193" i="3"/>
  <c r="V199" i="3"/>
  <c r="W199" i="3" s="1"/>
  <c r="M186" i="3"/>
  <c r="V192" i="3"/>
  <c r="W192" i="3" s="1"/>
  <c r="M172" i="3"/>
  <c r="V178" i="3"/>
  <c r="W178" i="3" s="1"/>
  <c r="M165" i="3"/>
  <c r="V171" i="3"/>
  <c r="W171" i="3" s="1"/>
  <c r="V157" i="3"/>
  <c r="W157" i="3" s="1"/>
  <c r="M151" i="3"/>
  <c r="V142" i="3"/>
  <c r="W142" i="3" s="1"/>
  <c r="L143" i="3"/>
  <c r="M143" i="3" s="1"/>
  <c r="M130" i="3"/>
  <c r="V136" i="3"/>
  <c r="W136" i="3" s="1"/>
  <c r="V128" i="3"/>
  <c r="W128" i="3" s="1"/>
  <c r="L129" i="3"/>
  <c r="M129" i="3" s="1"/>
  <c r="V116" i="3"/>
  <c r="W116" i="3" s="1"/>
  <c r="V20" i="2" s="1"/>
  <c r="U20" i="2"/>
  <c r="M102" i="3"/>
  <c r="V108" i="3"/>
  <c r="W108" i="3" s="1"/>
  <c r="V101" i="3"/>
  <c r="W101" i="3" s="1"/>
  <c r="M95" i="3"/>
  <c r="V94" i="3"/>
  <c r="W94" i="3" s="1"/>
  <c r="M88" i="3"/>
  <c r="M74" i="3"/>
  <c r="V80" i="3"/>
  <c r="W80" i="3" s="1"/>
  <c r="V65" i="3"/>
  <c r="W65" i="3" s="1"/>
  <c r="L66" i="3"/>
  <c r="M66" i="3" s="1"/>
  <c r="V46" i="3"/>
  <c r="W46" i="3" s="1"/>
  <c r="V10" i="2" s="1"/>
  <c r="U10" i="2"/>
  <c r="V25" i="3"/>
  <c r="W25" i="3" s="1"/>
  <c r="V7" i="2" s="1"/>
  <c r="U7" i="2"/>
  <c r="V72" i="3"/>
  <c r="W72" i="3" s="1"/>
  <c r="L73" i="3"/>
  <c r="M73" i="3" s="1"/>
  <c r="V81" i="3" l="1"/>
  <c r="W81" i="3" s="1"/>
  <c r="V15" i="2" s="1"/>
  <c r="U15" i="2"/>
  <c r="V207" i="3"/>
  <c r="W207" i="3" s="1"/>
  <c r="V33" i="2" s="1"/>
  <c r="U33" i="2"/>
  <c r="V158" i="3"/>
  <c r="W158" i="3" s="1"/>
  <c r="V26" i="2" s="1"/>
  <c r="U26" i="2"/>
  <c r="V53" i="3"/>
  <c r="W53" i="3" s="1"/>
  <c r="V11" i="2" s="1"/>
  <c r="U11" i="2"/>
  <c r="V32" i="3"/>
  <c r="W32" i="3" s="1"/>
  <c r="V8" i="2" s="1"/>
  <c r="U8" i="2"/>
  <c r="V18" i="3"/>
  <c r="W18" i="3" s="1"/>
  <c r="V6" i="2" s="1"/>
  <c r="U6" i="2"/>
  <c r="V150" i="3"/>
  <c r="W150" i="3" s="1"/>
  <c r="M144" i="3"/>
  <c r="V115" i="3"/>
  <c r="W115" i="3" s="1"/>
  <c r="M109" i="3"/>
  <c r="V206" i="3"/>
  <c r="W206" i="3" s="1"/>
  <c r="M200" i="3"/>
  <c r="V193" i="3"/>
  <c r="W193" i="3" s="1"/>
  <c r="V31" i="2" s="1"/>
  <c r="U31" i="2"/>
  <c r="V186" i="3"/>
  <c r="W186" i="3" s="1"/>
  <c r="V30" i="2" s="1"/>
  <c r="U30" i="2"/>
  <c r="V172" i="3"/>
  <c r="W172" i="3" s="1"/>
  <c r="V28" i="2" s="1"/>
  <c r="U28" i="2"/>
  <c r="V165" i="3"/>
  <c r="W165" i="3" s="1"/>
  <c r="V27" i="2" s="1"/>
  <c r="U27" i="2"/>
  <c r="V151" i="3"/>
  <c r="W151" i="3" s="1"/>
  <c r="V25" i="2" s="1"/>
  <c r="U25" i="2"/>
  <c r="M137" i="3"/>
  <c r="V143" i="3"/>
  <c r="W143" i="3" s="1"/>
  <c r="V130" i="3"/>
  <c r="W130" i="3" s="1"/>
  <c r="V22" i="2" s="1"/>
  <c r="U22" i="2"/>
  <c r="M123" i="3"/>
  <c r="V129" i="3"/>
  <c r="W129" i="3" s="1"/>
  <c r="V102" i="3"/>
  <c r="W102" i="3" s="1"/>
  <c r="V18" i="2" s="1"/>
  <c r="U18" i="2"/>
  <c r="V95" i="3"/>
  <c r="W95" i="3" s="1"/>
  <c r="V17" i="2" s="1"/>
  <c r="U17" i="2"/>
  <c r="V88" i="3"/>
  <c r="W88" i="3" s="1"/>
  <c r="V16" i="2" s="1"/>
  <c r="U16" i="2"/>
  <c r="V74" i="3"/>
  <c r="W74" i="3" s="1"/>
  <c r="V14" i="2" s="1"/>
  <c r="U14" i="2"/>
  <c r="M60" i="3"/>
  <c r="V66" i="3"/>
  <c r="W66" i="3" s="1"/>
  <c r="M67" i="3"/>
  <c r="V73" i="3"/>
  <c r="W73" i="3" s="1"/>
  <c r="V144" i="3" l="1"/>
  <c r="W144" i="3" s="1"/>
  <c r="V24" i="2" s="1"/>
  <c r="U24" i="2"/>
  <c r="V109" i="3"/>
  <c r="W109" i="3" s="1"/>
  <c r="V19" i="2" s="1"/>
  <c r="U19" i="2"/>
  <c r="V200" i="3"/>
  <c r="W200" i="3" s="1"/>
  <c r="V32" i="2" s="1"/>
  <c r="U32" i="2"/>
  <c r="V137" i="3"/>
  <c r="W137" i="3" s="1"/>
  <c r="V23" i="2" s="1"/>
  <c r="U23" i="2"/>
  <c r="V123" i="3"/>
  <c r="W123" i="3" s="1"/>
  <c r="V21" i="2" s="1"/>
  <c r="U21" i="2"/>
  <c r="V60" i="3"/>
  <c r="W60" i="3" s="1"/>
  <c r="V12" i="2" s="1"/>
  <c r="U12" i="2"/>
  <c r="V67" i="3"/>
  <c r="W67" i="3" s="1"/>
  <c r="V13" i="2" s="1"/>
  <c r="U13" i="2"/>
  <c r="H19" i="1" l="1"/>
  <c r="I19" i="1" s="1"/>
  <c r="H17" i="1"/>
  <c r="I17" i="1" s="1"/>
  <c r="H29" i="1"/>
  <c r="J5" i="1"/>
  <c r="H20" i="1"/>
  <c r="I20" i="1" s="1"/>
  <c r="H18" i="1"/>
  <c r="I18" i="1" s="1"/>
  <c r="H27" i="1"/>
</calcChain>
</file>

<file path=xl/sharedStrings.xml><?xml version="1.0" encoding="utf-8"?>
<sst xmlns="http://schemas.openxmlformats.org/spreadsheetml/2006/main" count="1535" uniqueCount="216">
  <si>
    <t>RPA PROJECT DASHBOARD</t>
  </si>
  <si>
    <t>TOTAL PROCESSES</t>
  </si>
  <si>
    <t>OVERALL PROGRESS</t>
  </si>
  <si>
    <t>COMPLETED</t>
  </si>
  <si>
    <t>DELAYED</t>
  </si>
  <si>
    <t>IN PROGRESS</t>
  </si>
  <si>
    <t>NOT STARTED</t>
  </si>
  <si>
    <t>ON HOLD</t>
  </si>
  <si>
    <t>BLOCKED</t>
  </si>
  <si>
    <t>PHASE COMPLETION</t>
  </si>
  <si>
    <t>PROJECT HEALTH</t>
  </si>
  <si>
    <t>Phase</t>
  </si>
  <si>
    <t>Completed</t>
  </si>
  <si>
    <t>Total</t>
  </si>
  <si>
    <t>Completion %</t>
  </si>
  <si>
    <t>Health</t>
  </si>
  <si>
    <t>Count</t>
  </si>
  <si>
    <t>% of Scope</t>
  </si>
  <si>
    <t>Assessment</t>
  </si>
  <si>
    <t>Green</t>
  </si>
  <si>
    <t>PDD Share</t>
  </si>
  <si>
    <t>Amber</t>
  </si>
  <si>
    <t>PDD Approve</t>
  </si>
  <si>
    <t>Red</t>
  </si>
  <si>
    <t>Development</t>
  </si>
  <si>
    <t>Gray</t>
  </si>
  <si>
    <t>UAT</t>
  </si>
  <si>
    <t>Go Live</t>
  </si>
  <si>
    <t>STREAM WORKLOAD</t>
  </si>
  <si>
    <t>KEY DATES &amp; EXCEPTIONS</t>
  </si>
  <si>
    <t>Stream</t>
  </si>
  <si>
    <t>Assigned</t>
  </si>
  <si>
    <t>Active</t>
  </si>
  <si>
    <t>Earliest Start</t>
  </si>
  <si>
    <t>S1</t>
  </si>
  <si>
    <t>Latest Finish</t>
  </si>
  <si>
    <t>S2</t>
  </si>
  <si>
    <t>Overrides Used</t>
  </si>
  <si>
    <t>S3</t>
  </si>
  <si>
    <t>Delayed Processes</t>
  </si>
  <si>
    <t>S4</t>
  </si>
  <si>
    <t>Blocked Tasks</t>
  </si>
  <si>
    <t>S5</t>
  </si>
  <si>
    <t>RPA PROCESS SUMMARY</t>
  </si>
  <si>
    <t>SOURCE SHEET — update process details, planned start, and phase durations in the yellow cells. All dates and status fields recalculate automatically.</t>
  </si>
  <si>
    <t>Process ID</t>
  </si>
  <si>
    <t>Process</t>
  </si>
  <si>
    <t>Department</t>
  </si>
  <si>
    <t>Business Owner</t>
  </si>
  <si>
    <t>ROI</t>
  </si>
  <si>
    <t>Complexity</t>
  </si>
  <si>
    <t>Priority</t>
  </si>
  <si>
    <t>Assessment Status</t>
  </si>
  <si>
    <t>Auto Start</t>
  </si>
  <si>
    <t>Start Override</t>
  </si>
  <si>
    <t>Effective Start</t>
  </si>
  <si>
    <t>Assessment Days</t>
  </si>
  <si>
    <t>PDD Share Days</t>
  </si>
  <si>
    <t>PDD Approve Days</t>
  </si>
  <si>
    <t>Development Days</t>
  </si>
  <si>
    <t>UAT Days</t>
  </si>
  <si>
    <t>Go Live Days</t>
  </si>
  <si>
    <t>Status</t>
  </si>
  <si>
    <t>Progress</t>
  </si>
  <si>
    <t>Finish</t>
  </si>
  <si>
    <t>RPA-001</t>
  </si>
  <si>
    <t>Vendor Payment Status Request</t>
  </si>
  <si>
    <t>Shared Services</t>
  </si>
  <si>
    <t>Hani A. Aljihani</t>
  </si>
  <si>
    <t>MEDIUM</t>
  </si>
  <si>
    <t>Medium</t>
  </si>
  <si>
    <t>Assessed</t>
  </si>
  <si>
    <t>RPA-002</t>
  </si>
  <si>
    <t>Fixed Asset Month end closing</t>
  </si>
  <si>
    <t>Finance</t>
  </si>
  <si>
    <t>Fatimah Alqurashi</t>
  </si>
  <si>
    <t>RPA-003</t>
  </si>
  <si>
    <t>AP Reports</t>
  </si>
  <si>
    <t>Sarah M. Alshaikh Mubarak / Abdul R. Sattar</t>
  </si>
  <si>
    <t>RPA-004</t>
  </si>
  <si>
    <t>AP Invoice</t>
  </si>
  <si>
    <t>Sarah M. Alshaikh Mubarak</t>
  </si>
  <si>
    <t>High</t>
  </si>
  <si>
    <t>RPA-005</t>
  </si>
  <si>
    <t>Invoice Verifications and Processing</t>
  </si>
  <si>
    <t>Bshaier</t>
  </si>
  <si>
    <t>HIGH</t>
  </si>
  <si>
    <t>RPA-006</t>
  </si>
  <si>
    <t>Sick Leave Requests</t>
  </si>
  <si>
    <t>HR</t>
  </si>
  <si>
    <t>Sultan N.Almunaykhir</t>
  </si>
  <si>
    <t>Low</t>
  </si>
  <si>
    <t>RPA-007</t>
  </si>
  <si>
    <t>Non-Aero Invoicing Commercial Posting</t>
  </si>
  <si>
    <t>RPA-008</t>
  </si>
  <si>
    <t>Capitalize Assets on SAP</t>
  </si>
  <si>
    <t>RPA-009</t>
  </si>
  <si>
    <t>Utilities and Facilities Invoicing</t>
  </si>
  <si>
    <t>RPA-010</t>
  </si>
  <si>
    <t>Shared Services KPI Reporting</t>
  </si>
  <si>
    <t>Sarah M. Alsharif</t>
  </si>
  <si>
    <t>RPA-011</t>
  </si>
  <si>
    <t>Revenue Recognition &amp; Contract Monitoring</t>
  </si>
  <si>
    <t>RPA-012</t>
  </si>
  <si>
    <t>Banking Reconciliation</t>
  </si>
  <si>
    <t>RPA-013</t>
  </si>
  <si>
    <t>Monthly and Annual WHT</t>
  </si>
  <si>
    <t>RPA-014</t>
  </si>
  <si>
    <t>Create Contract through SAP</t>
  </si>
  <si>
    <t>RPA-015</t>
  </si>
  <si>
    <t>Aero Invoicing Posting</t>
  </si>
  <si>
    <t>RPA-016</t>
  </si>
  <si>
    <t>Onboarding Documents</t>
  </si>
  <si>
    <t>Anas</t>
  </si>
  <si>
    <t>RPA-017</t>
  </si>
  <si>
    <t>Process 17 — Pending Identification</t>
  </si>
  <si>
    <t>Not identified</t>
  </si>
  <si>
    <t>RPA-018</t>
  </si>
  <si>
    <t>Process 18 — Pending Identification</t>
  </si>
  <si>
    <t>RPA-019</t>
  </si>
  <si>
    <t>Process 19 — Pending Identification</t>
  </si>
  <si>
    <t>RPA-020</t>
  </si>
  <si>
    <t>Process 20 — Pending Identification</t>
  </si>
  <si>
    <t>RPA-021</t>
  </si>
  <si>
    <t>Process 21 — Pending Identification</t>
  </si>
  <si>
    <t>RPA-022</t>
  </si>
  <si>
    <t>Process 22 — Pending Identification</t>
  </si>
  <si>
    <t>RPA-023</t>
  </si>
  <si>
    <t>Process 23 — Pending Identification</t>
  </si>
  <si>
    <t>RPA-024</t>
  </si>
  <si>
    <t>Process 24 — Pending Identification</t>
  </si>
  <si>
    <t>RPA-025</t>
  </si>
  <si>
    <t>Process 25 — Pending Identification</t>
  </si>
  <si>
    <t>RPA-026</t>
  </si>
  <si>
    <t>Process 26 — Pending Identification</t>
  </si>
  <si>
    <t>RPA-027</t>
  </si>
  <si>
    <t>Process 27 — Pending Identification</t>
  </si>
  <si>
    <t>RPA-028</t>
  </si>
  <si>
    <t>Process 28 — Pending Identification</t>
  </si>
  <si>
    <t>RPA-029</t>
  </si>
  <si>
    <t>Process 29 — Pending Identification</t>
  </si>
  <si>
    <t>RPA-030</t>
  </si>
  <si>
    <t>Process 30 — Pending Identification</t>
  </si>
  <si>
    <t>RPA PROJECT MANAGER</t>
  </si>
  <si>
    <t>Process / Task</t>
  </si>
  <si>
    <t>Duration Days</t>
  </si>
  <si>
    <t>Planned Start</t>
  </si>
  <si>
    <t>Planned Finish</t>
  </si>
  <si>
    <t>Current Owner</t>
  </si>
  <si>
    <t>Responsibility</t>
  </si>
  <si>
    <t>Waiting For</t>
  </si>
  <si>
    <t>Next Action</t>
  </si>
  <si>
    <t>Actual Start</t>
  </si>
  <si>
    <t>Actual Finish</t>
  </si>
  <si>
    <t>Variance Days</t>
  </si>
  <si>
    <t>Blocked</t>
  </si>
  <si>
    <t>Blocker Description</t>
  </si>
  <si>
    <t>Delay Reason</t>
  </si>
  <si>
    <t>Last Updated</t>
  </si>
  <si>
    <t>Updated By</t>
  </si>
  <si>
    <t>Development Servers</t>
  </si>
  <si>
    <t>Process Summary</t>
  </si>
  <si>
    <t>No</t>
  </si>
  <si>
    <t>Provide Servers</t>
  </si>
  <si>
    <t>Team Access</t>
  </si>
  <si>
    <t>Application Setup</t>
  </si>
  <si>
    <t>UiPath Platform Access</t>
  </si>
  <si>
    <t>Production Servers</t>
  </si>
  <si>
    <t>PROCESS DELIVERY PLAN</t>
  </si>
  <si>
    <t>Project Manager</t>
  </si>
  <si>
    <t>Mohammed Adel</t>
  </si>
  <si>
    <t>Business Analysis Team – Proven</t>
  </si>
  <si>
    <t>Process Owner – RAC</t>
  </si>
  <si>
    <t>In Progress</t>
  </si>
  <si>
    <t>Hussain Khubrany</t>
  </si>
  <si>
    <t>Development Team – Proven</t>
  </si>
  <si>
    <t>SAP Web access, the required SAP T-Codes, and sample vendor emails following the agreed template 
(including PO Number, Invoice Number(s), Invoice Amount, and attachment)</t>
  </si>
  <si>
    <t>RAC - Ibrahim Al Osaimi to provide the required system access, SAP T-Codes, and input samples.</t>
  </si>
  <si>
    <t>Not Started</t>
  </si>
  <si>
    <t>Hussain Khubrany / Hani A. Aljihani</t>
  </si>
  <si>
    <t>Proven Development Team / RAC SME</t>
  </si>
  <si>
    <t>Fatimah Alqurashi / Abdulmajeed S. Almutairi</t>
  </si>
  <si>
    <t>The process has been merged, and the required SAP T-Codes have been requested to complete the remaining development.</t>
  </si>
  <si>
    <t>Mohammed Shalaby</t>
  </si>
  <si>
    <t>Mohammed Shalaby / Fatimah Alqurashi / Abdulmajeed S. Almutairi</t>
  </si>
  <si>
    <t>Eman Saria</t>
  </si>
  <si>
    <t>Faisal Aljallali</t>
  </si>
  <si>
    <t>SAP GUI access, access to the required SAP T-Code (FBL1N), the AP Vendor Input Report from the SME (Excel attachment), and the vendor mapping file (Vendor ID → Vendor Email) from the</t>
  </si>
  <si>
    <t>RAC – Ibrahim Al Osaimi to provide the required SAP access, T-Code, AP Vendor Input Report, and vendor mapping file.</t>
  </si>
  <si>
    <t>Faisal Aljallali / Sarah M. Alshaikh Mubarak / Abdul R. Sattar</t>
  </si>
  <si>
    <t>Waleed Hamza</t>
  </si>
  <si>
    <t>Ayman</t>
  </si>
  <si>
    <t>Ayman / Sarah M. Alshaikh Mubarak</t>
  </si>
  <si>
    <t>Mohammed Shalaby / Bshaier</t>
  </si>
  <si>
    <t>Business approval of the PDD</t>
  </si>
  <si>
    <t>Hussain Khubrany / Sultan N.Almunaykhir</t>
  </si>
  <si>
    <t>Faisal Aljallali / Sarah M. Alshaikh Mubarak</t>
  </si>
  <si>
    <t>Mohammed Shalaby / Sarah M. Alshaikh Mubarak</t>
  </si>
  <si>
    <t>Ayman / Sarah M. Alsharif</t>
  </si>
  <si>
    <t>Hussain Khubrany / Sarah M. Alshaikh Mubarak</t>
  </si>
  <si>
    <t>Ayman / bshaier</t>
  </si>
  <si>
    <t>RPA SETTINGS</t>
  </si>
  <si>
    <t>Setting</t>
  </si>
  <si>
    <t>Value</t>
  </si>
  <si>
    <t>Statuses</t>
  </si>
  <si>
    <t>Streams</t>
  </si>
  <si>
    <t>Project Start</t>
  </si>
  <si>
    <t>LOW</t>
  </si>
  <si>
    <t>Yes</t>
  </si>
  <si>
    <t>On Hold</t>
  </si>
  <si>
    <t>Critical</t>
  </si>
  <si>
    <t>Development LOW</t>
  </si>
  <si>
    <t>Cancelled</t>
  </si>
  <si>
    <t>Development MEDIUM</t>
  </si>
  <si>
    <t>Development HIGH</t>
  </si>
  <si>
    <t>Project Tracker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</si>
</sst>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16">
    <font>
      <sz val="11"/>
      <name val="Carlito"/>
    </font>
    <font>
      <b/>
      <sz val="11"/>
      <color rgb="FFFFFFFF"/>
      <name val="Carlito"/>
    </font>
    <font>
      <sz val="11"/>
      <color rgb="FF1D2939"/>
      <name val="Carlito"/>
    </font>
    <font>
      <i/>
      <sz val="11"/>
      <color rgb="FF17365D"/>
      <name val="Carlito"/>
    </font>
    <font>
      <b/>
      <sz val="11"/>
      <color rgb="FF17365D"/>
      <name val="Carlito"/>
    </font>
    <font>
      <b/>
      <sz val="11"/>
      <color rgb="FF1D2939"/>
      <name val="Carlito"/>
    </font>
    <font>
      <i/>
      <sz val="11"/>
      <color rgb="FF667085"/>
      <name val="Carlito"/>
    </font>
    <font>
      <b/>
      <sz val="11"/>
      <color rgb="FF667085"/>
      <name val="Carlito"/>
    </font>
    <font>
      <b/>
      <sz val="11"/>
      <color rgb="FF2F75B5"/>
      <name val="Carlito"/>
    </font>
    <font>
      <b/>
      <sz val="11"/>
      <color rgb="FF2563EB"/>
      <name val="Carlito"/>
    </font>
    <font>
      <b/>
      <sz val="11"/>
      <color rgb="FF548235"/>
      <name val="Carlito"/>
    </font>
    <font>
      <b/>
      <sz val="11"/>
      <color rgb="FFC00000"/>
      <name val="Carlito"/>
    </font>
    <font>
      <b/>
      <sz val="11"/>
      <color rgb="FFD66B00"/>
      <name val="Carlito"/>
    </font>
    <font>
      <b/>
      <sz val="11"/>
      <color rgb="FF595959"/>
      <name val="Carlito"/>
    </font>
    <font>
      <b/>
      <sz val="11"/>
      <color rgb="FFA61C1C"/>
      <name val="Carlito"/>
    </font>
    <font>
      <b/>
      <sz val="11"/>
      <color rgb="FFBF7B00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FFF8E1"/>
      </patternFill>
    </fill>
    <fill>
      <patternFill patternType="solid">
        <fgColor rgb="FFDDEBF7"/>
      </patternFill>
    </fill>
    <fill>
      <patternFill patternType="solid">
        <fgColor rgb="FF2F75B5"/>
      </patternFill>
    </fill>
    <fill>
      <patternFill patternType="solid">
        <fgColor rgb="FF008C95"/>
      </patternFill>
    </fill>
    <fill>
      <patternFill patternType="solid">
        <fgColor rgb="FFBF7B00"/>
      </patternFill>
    </fill>
    <fill>
      <patternFill patternType="solid">
        <fgColor rgb="FFF2F4F7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/>
      <right/>
      <top/>
      <bottom style="thin">
        <color rgb="FFD0D5DD"/>
      </bottom>
      <diagonal/>
    </border>
    <border>
      <left/>
      <right/>
      <top style="thin">
        <color rgb="FFD0D5DD"/>
      </top>
      <bottom style="thin">
        <color rgb="FFD0D5DD"/>
      </bottom>
      <diagonal/>
    </border>
    <border>
      <left/>
      <right/>
      <top/>
      <bottom style="medium">
        <color rgb="FF2F75B5"/>
      </bottom>
      <diagonal/>
    </border>
    <border>
      <left/>
      <right/>
      <top/>
      <bottom style="medium">
        <color rgb="FF2563EB"/>
      </bottom>
      <diagonal/>
    </border>
    <border>
      <left/>
      <right/>
      <top/>
      <bottom style="medium">
        <color rgb="FF548235"/>
      </bottom>
      <diagonal/>
    </border>
    <border>
      <left/>
      <right/>
      <top/>
      <bottom style="medium">
        <color rgb="FFC00000"/>
      </bottom>
      <diagonal/>
    </border>
    <border>
      <left/>
      <right/>
      <top/>
      <bottom style="medium">
        <color rgb="FFD66B00"/>
      </bottom>
      <diagonal/>
    </border>
    <border>
      <left/>
      <right/>
      <top/>
      <bottom style="medium">
        <color rgb="FF595959"/>
      </bottom>
      <diagonal/>
    </border>
    <border>
      <left/>
      <right/>
      <top/>
      <bottom style="medium">
        <color rgb="FFA61C1C"/>
      </bottom>
      <diagonal/>
    </border>
    <border>
      <left/>
      <right/>
      <top/>
      <bottom style="medium">
        <color rgb="FFBF7B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164" fontId="2" fillId="0" borderId="2" xfId="0" applyNumberFormat="1" applyFont="1" applyBorder="1" applyAlignment="1">
      <alignment vertical="center"/>
    </xf>
    <xf numFmtId="164" fontId="2" fillId="4" borderId="2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0" fontId="1" fillId="6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vertical="center"/>
    </xf>
    <xf numFmtId="0" fontId="2" fillId="5" borderId="3" xfId="0" applyFont="1" applyFill="1" applyBorder="1" applyAlignment="1">
      <alignment vertical="center"/>
    </xf>
    <xf numFmtId="3" fontId="2" fillId="4" borderId="2" xfId="0" applyNumberFormat="1" applyFont="1" applyFill="1" applyBorder="1" applyAlignment="1">
      <alignment vertical="center"/>
    </xf>
    <xf numFmtId="3" fontId="2" fillId="4" borderId="3" xfId="0" applyNumberFormat="1" applyFont="1" applyFill="1" applyBorder="1" applyAlignment="1">
      <alignment vertical="center"/>
    </xf>
    <xf numFmtId="164" fontId="2" fillId="5" borderId="2" xfId="0" applyNumberFormat="1" applyFont="1" applyFill="1" applyBorder="1" applyAlignment="1">
      <alignment vertical="center"/>
    </xf>
    <xf numFmtId="164" fontId="2" fillId="4" borderId="3" xfId="0" applyNumberFormat="1" applyFont="1" applyFill="1" applyBorder="1" applyAlignment="1">
      <alignment vertical="center"/>
    </xf>
    <xf numFmtId="164" fontId="2" fillId="5" borderId="3" xfId="0" applyNumberFormat="1" applyFont="1" applyFill="1" applyBorder="1" applyAlignment="1">
      <alignment vertical="center"/>
    </xf>
    <xf numFmtId="9" fontId="2" fillId="5" borderId="2" xfId="0" applyNumberFormat="1" applyFont="1" applyFill="1" applyBorder="1" applyAlignment="1">
      <alignment vertical="center"/>
    </xf>
    <xf numFmtId="9" fontId="2" fillId="5" borderId="3" xfId="0" applyNumberFormat="1" applyFont="1" applyFill="1" applyBorder="1" applyAlignment="1">
      <alignment vertical="center"/>
    </xf>
    <xf numFmtId="1" fontId="2" fillId="4" borderId="2" xfId="0" applyNumberFormat="1" applyFont="1" applyFill="1" applyBorder="1" applyAlignment="1">
      <alignment vertical="center"/>
    </xf>
    <xf numFmtId="1" fontId="2" fillId="4" borderId="3" xfId="0" applyNumberFormat="1" applyFont="1" applyFill="1" applyBorder="1" applyAlignment="1">
      <alignment vertical="center"/>
    </xf>
    <xf numFmtId="0" fontId="4" fillId="4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vertical="center"/>
    </xf>
    <xf numFmtId="0" fontId="5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vertical="center" wrapText="1"/>
    </xf>
    <xf numFmtId="0" fontId="2" fillId="4" borderId="3" xfId="0" applyFont="1" applyFill="1" applyBorder="1" applyAlignment="1">
      <alignment vertical="center" wrapText="1"/>
    </xf>
    <xf numFmtId="9" fontId="2" fillId="0" borderId="3" xfId="0" applyNumberFormat="1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164" fontId="2" fillId="0" borderId="3" xfId="0" applyNumberFormat="1" applyFont="1" applyBorder="1" applyAlignment="1">
      <alignment vertical="center"/>
    </xf>
    <xf numFmtId="0" fontId="4" fillId="5" borderId="12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6" borderId="12" xfId="0" applyFont="1" applyFill="1" applyBorder="1" applyAlignment="1">
      <alignment horizontal="center" vertical="center"/>
    </xf>
    <xf numFmtId="0" fontId="1" fillId="7" borderId="12" xfId="0" applyFont="1" applyFill="1" applyBorder="1" applyAlignment="1">
      <alignment horizontal="center" vertical="center"/>
    </xf>
    <xf numFmtId="0" fontId="1" fillId="8" borderId="12" xfId="0" applyFont="1" applyFill="1" applyBorder="1" applyAlignment="1">
      <alignment horizontal="center" vertical="center"/>
    </xf>
    <xf numFmtId="3" fontId="4" fillId="5" borderId="12" xfId="0" applyNumberFormat="1" applyFont="1" applyFill="1" applyBorder="1" applyAlignment="1">
      <alignment horizontal="center" vertical="center"/>
    </xf>
    <xf numFmtId="164" fontId="4" fillId="5" borderId="12" xfId="0" applyNumberFormat="1" applyFont="1" applyFill="1" applyBorder="1" applyAlignment="1">
      <alignment horizontal="center" vertical="center"/>
    </xf>
    <xf numFmtId="9" fontId="4" fillId="5" borderId="12" xfId="0" applyNumberFormat="1" applyFont="1" applyFill="1" applyBorder="1" applyAlignment="1">
      <alignment horizontal="center" vertical="center"/>
    </xf>
    <xf numFmtId="3" fontId="2" fillId="0" borderId="12" xfId="0" applyNumberFormat="1" applyFont="1" applyBorder="1" applyAlignment="1">
      <alignment horizontal="center" vertical="center"/>
    </xf>
    <xf numFmtId="0" fontId="2" fillId="11" borderId="12" xfId="0" applyFont="1" applyFill="1" applyBorder="1" applyAlignment="1">
      <alignment horizontal="center" vertical="center"/>
    </xf>
    <xf numFmtId="164" fontId="2" fillId="11" borderId="12" xfId="0" applyNumberFormat="1" applyFont="1" applyFill="1" applyBorder="1" applyAlignment="1">
      <alignment horizontal="center" vertical="center"/>
    </xf>
    <xf numFmtId="9" fontId="2" fillId="0" borderId="12" xfId="0" applyNumberFormat="1" applyFont="1" applyBorder="1" applyAlignment="1">
      <alignment vertical="center"/>
    </xf>
    <xf numFmtId="0" fontId="1" fillId="7" borderId="12" xfId="0" applyFont="1" applyFill="1" applyBorder="1" applyAlignment="1">
      <alignment horizontal="center" vertical="center" wrapText="1"/>
    </xf>
    <xf numFmtId="9" fontId="4" fillId="5" borderId="12" xfId="0" applyNumberFormat="1" applyFont="1" applyFill="1" applyBorder="1" applyAlignment="1">
      <alignment horizontal="center" vertical="center" wrapText="1"/>
    </xf>
    <xf numFmtId="0" fontId="2" fillId="11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0" fontId="7" fillId="10" borderId="11" xfId="0" applyFont="1" applyFill="1" applyBorder="1" applyAlignment="1">
      <alignment horizontal="center"/>
    </xf>
    <xf numFmtId="1" fontId="15" fillId="10" borderId="0" xfId="0" applyNumberFormat="1" applyFont="1" applyFill="1" applyAlignment="1">
      <alignment horizontal="center" vertical="center"/>
    </xf>
    <xf numFmtId="0" fontId="4" fillId="5" borderId="0" xfId="0" applyFont="1" applyFill="1"/>
    <xf numFmtId="0" fontId="7" fillId="10" borderId="8" xfId="0" applyFont="1" applyFill="1" applyBorder="1" applyAlignment="1">
      <alignment horizontal="center"/>
    </xf>
    <xf numFmtId="1" fontId="12" fillId="10" borderId="0" xfId="0" applyNumberFormat="1" applyFont="1" applyFill="1" applyAlignment="1">
      <alignment horizontal="center" vertical="center"/>
    </xf>
    <xf numFmtId="0" fontId="7" fillId="10" borderId="9" xfId="0" applyFont="1" applyFill="1" applyBorder="1" applyAlignment="1">
      <alignment horizontal="center"/>
    </xf>
    <xf numFmtId="1" fontId="13" fillId="10" borderId="0" xfId="0" applyNumberFormat="1" applyFont="1" applyFill="1" applyAlignment="1">
      <alignment horizontal="center" vertical="center"/>
    </xf>
    <xf numFmtId="0" fontId="7" fillId="10" borderId="10" xfId="0" applyFont="1" applyFill="1" applyBorder="1" applyAlignment="1">
      <alignment horizontal="center"/>
    </xf>
    <xf numFmtId="1" fontId="14" fillId="10" borderId="0" xfId="0" applyNumberFormat="1" applyFont="1" applyFill="1" applyAlignment="1">
      <alignment horizontal="center" vertical="center"/>
    </xf>
    <xf numFmtId="0" fontId="6" fillId="9" borderId="0" xfId="0" applyFont="1" applyFill="1" applyAlignment="1">
      <alignment horizontal="right"/>
    </xf>
    <xf numFmtId="0" fontId="7" fillId="10" borderId="4" xfId="0" applyFont="1" applyFill="1" applyBorder="1" applyAlignment="1">
      <alignment horizontal="center"/>
    </xf>
    <xf numFmtId="1" fontId="8" fillId="10" borderId="0" xfId="0" applyNumberFormat="1" applyFont="1" applyFill="1" applyAlignment="1">
      <alignment horizontal="center" vertical="center"/>
    </xf>
    <xf numFmtId="0" fontId="7" fillId="10" borderId="5" xfId="0" applyFont="1" applyFill="1" applyBorder="1" applyAlignment="1">
      <alignment horizontal="center"/>
    </xf>
    <xf numFmtId="9" fontId="9" fillId="10" borderId="0" xfId="0" applyNumberFormat="1" applyFont="1" applyFill="1" applyAlignment="1">
      <alignment horizontal="center" vertical="center"/>
    </xf>
    <xf numFmtId="0" fontId="7" fillId="10" borderId="6" xfId="0" applyFont="1" applyFill="1" applyBorder="1" applyAlignment="1">
      <alignment horizontal="center"/>
    </xf>
    <xf numFmtId="1" fontId="10" fillId="10" borderId="0" xfId="0" applyNumberFormat="1" applyFont="1" applyFill="1" applyAlignment="1">
      <alignment horizontal="center" vertical="center"/>
    </xf>
    <xf numFmtId="0" fontId="7" fillId="10" borderId="7" xfId="0" applyFont="1" applyFill="1" applyBorder="1" applyAlignment="1">
      <alignment horizontal="center"/>
    </xf>
    <xf numFmtId="1" fontId="11" fillId="10" borderId="0" xfId="0" applyNumberFormat="1" applyFont="1" applyFill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</cellXfs>
  <cellStyles count="1">
    <cellStyle name="Normal" xfId="0" builtinId="0"/>
  </cellStyles>
  <dxfs count="17"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548235"/>
      </font>
      <fill>
        <patternFill patternType="solid">
          <bgColor rgb="FFE2F0D9"/>
        </patternFill>
      </fill>
    </dxf>
    <dxf>
      <font>
        <b/>
        <color rgb="FFBF7B00"/>
      </font>
      <fill>
        <patternFill patternType="solid">
          <bgColor rgb="FFFFF2CC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C00000"/>
      </font>
      <fill>
        <patternFill patternType="solid">
          <bgColor rgb="FFFFF2CC"/>
        </patternFill>
      </fill>
    </dxf>
    <dxf>
      <font>
        <b/>
        <color rgb="FF2F75B5"/>
      </font>
      <fill>
        <patternFill patternType="solid">
          <bgColor rgb="FFDDEBF7"/>
        </patternFill>
      </fill>
    </dxf>
    <dxf>
      <font>
        <b/>
        <color rgb="FF548235"/>
      </font>
      <fill>
        <patternFill patternType="solid">
          <bgColor rgb="FFE2F0D9"/>
        </patternFill>
      </fill>
    </dxf>
    <dxf>
      <fill>
        <patternFill>
          <bgColor rgb="FFD9D9D9"/>
        </patternFill>
      </fill>
    </dxf>
    <dxf>
      <fill>
        <patternFill>
          <bgColor rgb="FFE7E6E6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BF7B00"/>
      </font>
      <fill>
        <patternFill patternType="solid">
          <bgColor rgb="FFFFF2CC"/>
        </patternFill>
      </fill>
    </dxf>
    <dxf>
      <font>
        <b/>
        <color rgb="FF548235"/>
      </font>
      <fill>
        <patternFill patternType="solid">
          <bgColor rgb="FFE2F0D9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2F75B5"/>
      </font>
      <fill>
        <patternFill patternType="solid">
          <bgColor rgb="FFDDEBF7"/>
        </patternFill>
      </fill>
    </dxf>
    <dxf>
      <font>
        <b/>
        <color rgb="FF548235"/>
      </font>
      <fill>
        <patternFill patternType="solid">
          <bgColor rgb="FFE2F0D9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548235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mruColors>
      <color rgb="FFE2F0D9"/>
      <color rgb="FFE7E6E6"/>
      <color rgb="FFD9D9D9"/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"/>
  <sheetViews>
    <sheetView showGridLines="0" tabSelected="1" topLeftCell="D14" zoomScale="142" workbookViewId="0">
      <selection activeCell="D19" sqref="D19"/>
    </sheetView>
  </sheetViews>
  <sheetFormatPr baseColWidth="10" defaultColWidth="8.83203125" defaultRowHeight="15"/>
  <cols>
    <col min="1" max="1" width="12.1640625" bestFit="1" customWidth="1"/>
    <col min="2" max="2" width="11" bestFit="1" customWidth="1"/>
    <col min="3" max="3" width="6.6640625" bestFit="1" customWidth="1"/>
    <col min="4" max="4" width="13.83203125" bestFit="1" customWidth="1"/>
    <col min="5" max="5" width="14" customWidth="1"/>
    <col min="6" max="6" width="4" customWidth="1"/>
    <col min="7" max="7" width="18.6640625" customWidth="1"/>
    <col min="8" max="8" width="11.6640625" bestFit="1" customWidth="1"/>
    <col min="9" max="9" width="11.1640625" bestFit="1" customWidth="1"/>
    <col min="10" max="10" width="18" customWidth="1"/>
    <col min="11" max="11" width="18.83203125" bestFit="1" customWidth="1"/>
    <col min="12" max="12" width="15.83203125" bestFit="1" customWidth="1"/>
    <col min="13" max="13" width="13" bestFit="1" customWidth="1"/>
    <col min="14" max="14" width="17.6640625" bestFit="1" customWidth="1"/>
    <col min="15" max="15" width="22.83203125" bestFit="1" customWidth="1"/>
  </cols>
  <sheetData>
    <row r="1" spans="1:16" ht="34" customHeight="1">
      <c r="A1" s="49" t="s">
        <v>0</v>
      </c>
      <c r="B1" s="49" t="s">
        <v>0</v>
      </c>
      <c r="C1" s="49" t="s">
        <v>0</v>
      </c>
      <c r="D1" s="49" t="s">
        <v>0</v>
      </c>
      <c r="E1" s="49" t="s">
        <v>0</v>
      </c>
      <c r="F1" s="49" t="s">
        <v>0</v>
      </c>
      <c r="G1" s="49" t="s">
        <v>0</v>
      </c>
      <c r="H1" s="49" t="s">
        <v>0</v>
      </c>
      <c r="I1" s="49" t="s">
        <v>0</v>
      </c>
      <c r="J1" s="49" t="s">
        <v>0</v>
      </c>
      <c r="K1" s="49" t="s">
        <v>0</v>
      </c>
      <c r="L1" s="49" t="s">
        <v>0</v>
      </c>
    </row>
    <row r="2" spans="1:16" ht="22" customHeight="1">
      <c r="A2" s="60" t="str">
        <f ca="1">"Updated: "&amp;TEXT(TODAY(),"dd mmm yyyy")</f>
        <v>Updated: 03 Aug 2026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</row>
    <row r="3" spans="1:16" ht="22" customHeight="1"/>
    <row r="4" spans="1:16" ht="22" customHeight="1">
      <c r="A4" s="61" t="s">
        <v>1</v>
      </c>
      <c r="B4" s="61" t="s">
        <v>1</v>
      </c>
      <c r="C4" s="61" t="s">
        <v>1</v>
      </c>
      <c r="D4" s="63" t="s">
        <v>2</v>
      </c>
      <c r="E4" s="63" t="s">
        <v>2</v>
      </c>
      <c r="F4" s="63" t="s">
        <v>2</v>
      </c>
      <c r="G4" s="65" t="s">
        <v>3</v>
      </c>
      <c r="H4" s="65" t="s">
        <v>3</v>
      </c>
      <c r="I4" s="65" t="s">
        <v>3</v>
      </c>
      <c r="J4" s="67" t="s">
        <v>4</v>
      </c>
      <c r="K4" s="67" t="s">
        <v>4</v>
      </c>
      <c r="L4" s="67" t="s">
        <v>4</v>
      </c>
    </row>
    <row r="5" spans="1:16" ht="26" customHeight="1">
      <c r="A5" s="62">
        <f>COUNTIF(Summary!$B$4:$B$33,"&lt;&gt;")</f>
        <v>30</v>
      </c>
      <c r="B5" s="62"/>
      <c r="C5" s="62"/>
      <c r="D5" s="64">
        <f>IFERROR((SUMIF(Summary!$B$4:$B$33,"&lt;&gt;",Summary!$T$4:$T$33)+SUM(P17:P18))/(COUNTIF(Summary!$B$4:$B$33,"&lt;&gt;")+COUNT(P17:P18)),0)</f>
        <v>0.20052083333333331</v>
      </c>
      <c r="E5" s="64"/>
      <c r="F5" s="64"/>
      <c r="G5" s="66">
        <f>COUNTIF(Summary!$S$4:$S$33,"Completed")</f>
        <v>0</v>
      </c>
      <c r="H5" s="66"/>
      <c r="I5" s="66"/>
      <c r="J5" s="68">
        <f ca="1">COUNTIF(Summary!$V$4:$V$33,"Red")</f>
        <v>0</v>
      </c>
      <c r="K5" s="68"/>
      <c r="L5" s="68"/>
    </row>
    <row r="6" spans="1:16" ht="26" customHeight="1">
      <c r="A6" s="62"/>
      <c r="B6" s="62"/>
      <c r="C6" s="62"/>
      <c r="D6" s="64"/>
      <c r="E6" s="64"/>
      <c r="F6" s="64"/>
      <c r="G6" s="66"/>
      <c r="H6" s="66"/>
      <c r="I6" s="66"/>
      <c r="J6" s="68"/>
      <c r="K6" s="68"/>
      <c r="L6" s="68"/>
    </row>
    <row r="7" spans="1:16" ht="26" customHeight="1">
      <c r="A7" s="62"/>
      <c r="B7" s="62"/>
      <c r="C7" s="62"/>
      <c r="D7" s="64"/>
      <c r="E7" s="64"/>
      <c r="F7" s="64"/>
      <c r="G7" s="66"/>
      <c r="H7" s="66"/>
      <c r="I7" s="66"/>
      <c r="J7" s="68"/>
      <c r="K7" s="68"/>
      <c r="L7" s="68"/>
    </row>
    <row r="8" spans="1:16" ht="22" customHeight="1"/>
    <row r="9" spans="1:16" ht="22" customHeight="1">
      <c r="A9" s="54" t="s">
        <v>5</v>
      </c>
      <c r="B9" s="54" t="s">
        <v>5</v>
      </c>
      <c r="C9" s="54" t="s">
        <v>5</v>
      </c>
      <c r="D9" s="56" t="s">
        <v>6</v>
      </c>
      <c r="E9" s="56" t="s">
        <v>6</v>
      </c>
      <c r="F9" s="56" t="s">
        <v>6</v>
      </c>
      <c r="G9" s="58" t="s">
        <v>7</v>
      </c>
      <c r="H9" s="58" t="s">
        <v>7</v>
      </c>
      <c r="I9" s="58" t="s">
        <v>7</v>
      </c>
      <c r="J9" s="51" t="s">
        <v>8</v>
      </c>
      <c r="K9" s="51" t="s">
        <v>8</v>
      </c>
      <c r="L9" s="51" t="s">
        <v>8</v>
      </c>
    </row>
    <row r="10" spans="1:16" ht="26" customHeight="1">
      <c r="A10" s="55">
        <f>COUNTIF(Summary!$S$4:$S$33,"In Progress")</f>
        <v>15</v>
      </c>
      <c r="B10" s="55"/>
      <c r="C10" s="55"/>
      <c r="D10" s="57">
        <f>COUNTIF(Summary!$S$4:$S$33,"Not Started")</f>
        <v>15</v>
      </c>
      <c r="E10" s="57"/>
      <c r="F10" s="57"/>
      <c r="G10" s="59">
        <f>COUNTIF(Summary!$S$4:$S$33,"On Hold")</f>
        <v>0</v>
      </c>
      <c r="H10" s="59"/>
      <c r="I10" s="59"/>
      <c r="J10" s="52">
        <f>COUNTIF('Project Tracker'!$X$4:$X$213,"Yes")</f>
        <v>3</v>
      </c>
      <c r="K10" s="52"/>
      <c r="L10" s="52"/>
    </row>
    <row r="11" spans="1:16" ht="26" customHeight="1">
      <c r="A11" s="55"/>
      <c r="B11" s="55"/>
      <c r="C11" s="55"/>
      <c r="D11" s="57"/>
      <c r="E11" s="57"/>
      <c r="F11" s="57"/>
      <c r="G11" s="59"/>
      <c r="H11" s="59"/>
      <c r="I11" s="59"/>
      <c r="J11" s="52"/>
      <c r="K11" s="52"/>
      <c r="L11" s="52"/>
    </row>
    <row r="12" spans="1:16" ht="26" customHeight="1">
      <c r="A12" s="55"/>
      <c r="B12" s="55"/>
      <c r="C12" s="55"/>
      <c r="D12" s="57"/>
      <c r="E12" s="57"/>
      <c r="F12" s="57"/>
      <c r="G12" s="59"/>
      <c r="H12" s="59"/>
      <c r="I12" s="59"/>
      <c r="J12" s="52"/>
      <c r="K12" s="52"/>
      <c r="L12" s="52"/>
    </row>
    <row r="13" spans="1:16" ht="22" customHeight="1"/>
    <row r="14" spans="1:16" ht="22" customHeight="1"/>
    <row r="15" spans="1:16" ht="22" customHeight="1">
      <c r="A15" s="53" t="s">
        <v>9</v>
      </c>
      <c r="B15" s="53"/>
      <c r="C15" s="53"/>
      <c r="D15" s="53"/>
      <c r="E15" s="53"/>
      <c r="G15" s="53" t="s">
        <v>10</v>
      </c>
      <c r="H15" s="53"/>
      <c r="I15" s="53"/>
      <c r="J15" s="53"/>
    </row>
    <row r="16" spans="1:16" ht="22" customHeight="1">
      <c r="A16" s="1" t="s">
        <v>11</v>
      </c>
      <c r="B16" s="1" t="s">
        <v>12</v>
      </c>
      <c r="C16" s="1" t="s">
        <v>13</v>
      </c>
      <c r="D16" s="1" t="s">
        <v>14</v>
      </c>
      <c r="G16" s="1" t="s">
        <v>15</v>
      </c>
      <c r="H16" s="1" t="s">
        <v>16</v>
      </c>
      <c r="I16" s="1" t="s">
        <v>17</v>
      </c>
      <c r="K16" s="1"/>
      <c r="L16" s="1" t="s">
        <v>163</v>
      </c>
      <c r="M16" s="1" t="s">
        <v>164</v>
      </c>
      <c r="N16" s="1" t="s">
        <v>165</v>
      </c>
      <c r="O16" s="1" t="s">
        <v>166</v>
      </c>
      <c r="P16" s="1"/>
    </row>
    <row r="17" spans="1:16" ht="22" customHeight="1">
      <c r="A17" s="2" t="s">
        <v>18</v>
      </c>
      <c r="B17" s="2">
        <f>COUNTIFS('Project Tracker'!$J$4:$J$213,A17,'Project Tracker'!$N$4:$N$213,"Completed")</f>
        <v>15</v>
      </c>
      <c r="C17" s="2">
        <f>COUNTIF('Project Tracker'!$J$4:$J$213,A17)</f>
        <v>30</v>
      </c>
      <c r="D17" s="26">
        <f t="shared" ref="D17:D22" si="0">IFERROR(B17/C17,0)</f>
        <v>0.5</v>
      </c>
      <c r="G17" s="2" t="s">
        <v>19</v>
      </c>
      <c r="H17" s="2">
        <f ca="1">COUNTIF(Summary!$V$4:$V$33,G17)</f>
        <v>30</v>
      </c>
      <c r="I17" s="26">
        <f ca="1">IFERROR(H17/COUNTIF(Summary!$B$4:$B$33,"&lt;&gt;"),0)</f>
        <v>1</v>
      </c>
      <c r="K17" s="2" t="s">
        <v>160</v>
      </c>
      <c r="L17" s="33" t="s">
        <v>12</v>
      </c>
      <c r="M17" s="33" t="s">
        <v>12</v>
      </c>
      <c r="N17" s="33" t="s">
        <v>12</v>
      </c>
      <c r="O17" s="33" t="s">
        <v>12</v>
      </c>
      <c r="P17" s="26">
        <f>COUNTIF(L17:O17,"Completed")/COLUMNS(L17:O17)</f>
        <v>1</v>
      </c>
    </row>
    <row r="18" spans="1:16" ht="22" customHeight="1">
      <c r="A18" s="3" t="s">
        <v>20</v>
      </c>
      <c r="B18" s="3">
        <f>COUNTIFS('Project Tracker'!$J$4:$J$213,A18,'Project Tracker'!$N$4:$N$213,"Completed")</f>
        <v>4</v>
      </c>
      <c r="C18" s="3">
        <f>COUNTIF('Project Tracker'!$J$4:$J$213,A18)</f>
        <v>30</v>
      </c>
      <c r="D18" s="26">
        <f t="shared" si="0"/>
        <v>0.13333333333333333</v>
      </c>
      <c r="G18" s="3" t="s">
        <v>21</v>
      </c>
      <c r="H18" s="3">
        <f ca="1">COUNTIF(Summary!$V$4:$V$33,G18)</f>
        <v>0</v>
      </c>
      <c r="I18" s="26">
        <f ca="1">IFERROR(H18/COUNTIF(Summary!$B$4:$B$33,"&lt;&gt;"),0)</f>
        <v>0</v>
      </c>
      <c r="K18" s="3" t="s">
        <v>167</v>
      </c>
      <c r="L18" s="33" t="s">
        <v>12</v>
      </c>
      <c r="M18" s="33" t="s">
        <v>12</v>
      </c>
      <c r="N18" s="33" t="s">
        <v>173</v>
      </c>
      <c r="O18" s="33" t="s">
        <v>178</v>
      </c>
      <c r="P18" s="26">
        <f>COUNTIF(L18:O18,"Completed")/COLUMNS(L18:O18)</f>
        <v>0.5</v>
      </c>
    </row>
    <row r="19" spans="1:16" ht="22" customHeight="1">
      <c r="A19" s="3" t="s">
        <v>22</v>
      </c>
      <c r="B19" s="3">
        <f>COUNTIFS('Project Tracker'!$J$4:$J$213,A19,'Project Tracker'!$N$4:$N$213,"Completed")</f>
        <v>3</v>
      </c>
      <c r="C19" s="3">
        <f>COUNTIF('Project Tracker'!$J$4:$J$213,A19)</f>
        <v>30</v>
      </c>
      <c r="D19" s="26">
        <f t="shared" si="0"/>
        <v>0.1</v>
      </c>
      <c r="G19" s="3" t="s">
        <v>23</v>
      </c>
      <c r="H19" s="3">
        <f ca="1">COUNTIF(Summary!$V$4:$V$33,G19)</f>
        <v>0</v>
      </c>
      <c r="I19" s="26">
        <f ca="1">IFERROR(H19/COUNTIF(Summary!$B$4:$B$33,"&lt;&gt;"),0)</f>
        <v>0</v>
      </c>
    </row>
    <row r="20" spans="1:16" ht="22" customHeight="1">
      <c r="A20" s="3" t="s">
        <v>24</v>
      </c>
      <c r="B20" s="3">
        <f>COUNTIFS('Project Tracker'!$J$4:$J$213,A20,'Project Tracker'!$N$4:$N$213,"Completed")</f>
        <v>0</v>
      </c>
      <c r="C20" s="3">
        <f>COUNTIF('Project Tracker'!$J$4:$J$213,A20)</f>
        <v>30</v>
      </c>
      <c r="D20" s="26">
        <f t="shared" si="0"/>
        <v>0</v>
      </c>
      <c r="G20" s="3" t="s">
        <v>25</v>
      </c>
      <c r="H20" s="3">
        <f ca="1">COUNTIF(Summary!$V$4:$V$33,G20)</f>
        <v>0</v>
      </c>
      <c r="I20" s="26">
        <f ca="1">IFERROR(H20/COUNTIF(Summary!$B$4:$B$33,"&lt;&gt;"),0)</f>
        <v>0</v>
      </c>
    </row>
    <row r="21" spans="1:16" ht="22" customHeight="1">
      <c r="A21" s="3" t="s">
        <v>26</v>
      </c>
      <c r="B21" s="3">
        <f>COUNTIFS('Project Tracker'!$J$4:$J$213,A21,'Project Tracker'!$N$4:$N$213,"Completed")</f>
        <v>0</v>
      </c>
      <c r="C21" s="3">
        <f>COUNTIF('Project Tracker'!$J$4:$J$213,A21)</f>
        <v>30</v>
      </c>
      <c r="D21" s="26">
        <f t="shared" si="0"/>
        <v>0</v>
      </c>
    </row>
    <row r="22" spans="1:16" ht="22" customHeight="1">
      <c r="A22" s="3" t="s">
        <v>27</v>
      </c>
      <c r="B22" s="3">
        <f>COUNTIFS('Project Tracker'!$J$4:$J$213,A22,'Project Tracker'!$N$4:$N$213,"Completed")</f>
        <v>0</v>
      </c>
      <c r="C22" s="3">
        <f>COUNTIF('Project Tracker'!$J$4:$J$213,A22)</f>
        <v>30</v>
      </c>
      <c r="D22" s="26">
        <f t="shared" si="0"/>
        <v>0</v>
      </c>
    </row>
    <row r="23" spans="1:16" ht="22" customHeight="1"/>
    <row r="24" spans="1:16" ht="22" customHeight="1"/>
    <row r="25" spans="1:16" ht="22" customHeight="1">
      <c r="A25" s="53" t="s">
        <v>28</v>
      </c>
      <c r="B25" s="53"/>
      <c r="C25" s="53"/>
      <c r="D25" s="53"/>
      <c r="E25" s="53"/>
      <c r="G25" s="53" t="s">
        <v>29</v>
      </c>
      <c r="H25" s="53"/>
      <c r="I25" s="53"/>
      <c r="J25" s="53"/>
      <c r="K25" s="53"/>
      <c r="L25" s="53"/>
    </row>
    <row r="26" spans="1:16" ht="22" customHeight="1">
      <c r="A26" s="1" t="s">
        <v>30</v>
      </c>
      <c r="B26" s="1" t="s">
        <v>31</v>
      </c>
      <c r="C26" s="1" t="s">
        <v>32</v>
      </c>
      <c r="G26" s="27" t="s">
        <v>33</v>
      </c>
      <c r="H26" s="4">
        <f>MIN(Summary!$L$4:$L$33)</f>
        <v>46236</v>
      </c>
    </row>
    <row r="27" spans="1:16" ht="22" customHeight="1">
      <c r="A27" s="2" t="s">
        <v>34</v>
      </c>
      <c r="B27" s="2">
        <f>COUNTIF(Summary!$H$4:$H$33,A27)</f>
        <v>7</v>
      </c>
      <c r="C27" s="2">
        <f>COUNTIFS(Summary!$H$4:$H$33,A27,Summary!$S$4:$S$33,"&lt;&gt;Completed")</f>
        <v>7</v>
      </c>
      <c r="G27" s="28" t="s">
        <v>35</v>
      </c>
      <c r="H27" s="29">
        <f>MAX(Summary!$U$4:$U$33)</f>
        <v>46484</v>
      </c>
    </row>
    <row r="28" spans="1:16" ht="22" customHeight="1">
      <c r="A28" s="3" t="s">
        <v>36</v>
      </c>
      <c r="B28" s="3">
        <f>COUNTIF(Summary!$H$4:$H$33,A28)</f>
        <v>4</v>
      </c>
      <c r="C28" s="3">
        <f>COUNTIFS(Summary!$H$4:$H$33,A28,Summary!$S$4:$S$33,"&lt;&gt;Completed")</f>
        <v>4</v>
      </c>
      <c r="G28" s="28" t="s">
        <v>37</v>
      </c>
      <c r="H28" s="3">
        <f>COUNT(Summary!$K$4:$K$33)</f>
        <v>0</v>
      </c>
    </row>
    <row r="29" spans="1:16" ht="22" customHeight="1">
      <c r="A29" s="3" t="s">
        <v>38</v>
      </c>
      <c r="B29" s="3">
        <f>COUNTIF(Summary!$H$4:$H$33,A29)</f>
        <v>8</v>
      </c>
      <c r="C29" s="3">
        <f>COUNTIFS(Summary!$H$4:$H$33,A29,Summary!$S$4:$S$33,"&lt;&gt;Completed")</f>
        <v>8</v>
      </c>
      <c r="G29" s="28" t="s">
        <v>39</v>
      </c>
      <c r="H29" s="3">
        <f ca="1">COUNTIF(Summary!$V$4:$V$33,"Red")</f>
        <v>0</v>
      </c>
    </row>
    <row r="30" spans="1:16" ht="22" customHeight="1">
      <c r="A30" s="3" t="s">
        <v>40</v>
      </c>
      <c r="B30" s="3">
        <f>COUNTIF(Summary!$H$4:$H$33,A30)</f>
        <v>7</v>
      </c>
      <c r="C30" s="3">
        <f>COUNTIFS(Summary!$H$4:$H$33,A30,Summary!$S$4:$S$33,"&lt;&gt;Completed")</f>
        <v>7</v>
      </c>
      <c r="G30" s="28" t="s">
        <v>41</v>
      </c>
      <c r="H30" s="3">
        <f>COUNTIF('Project Tracker'!$X$4:$X$213,"Yes")</f>
        <v>3</v>
      </c>
    </row>
    <row r="31" spans="1:16" ht="22" customHeight="1">
      <c r="A31" s="3" t="s">
        <v>42</v>
      </c>
      <c r="B31" s="3">
        <f>COUNTIF(Summary!$H$4:$H$33,A31)</f>
        <v>4</v>
      </c>
      <c r="C31" s="3">
        <f>COUNTIFS(Summary!$H$4:$H$33,A31,Summary!$S$4:$S$33,"&lt;&gt;Completed")</f>
        <v>4</v>
      </c>
    </row>
  </sheetData>
  <mergeCells count="22">
    <mergeCell ref="A1:L1"/>
    <mergeCell ref="A2:L2"/>
    <mergeCell ref="A4:C4"/>
    <mergeCell ref="A5:C7"/>
    <mergeCell ref="D4:F4"/>
    <mergeCell ref="D5:F7"/>
    <mergeCell ref="G4:I4"/>
    <mergeCell ref="G5:I7"/>
    <mergeCell ref="J4:L4"/>
    <mergeCell ref="J5:L7"/>
    <mergeCell ref="J9:L9"/>
    <mergeCell ref="J10:L12"/>
    <mergeCell ref="A15:E15"/>
    <mergeCell ref="G15:J15"/>
    <mergeCell ref="A25:E25"/>
    <mergeCell ref="G25:L25"/>
    <mergeCell ref="A9:C9"/>
    <mergeCell ref="A10:C12"/>
    <mergeCell ref="D9:F9"/>
    <mergeCell ref="D10:F12"/>
    <mergeCell ref="G9:I9"/>
    <mergeCell ref="G10:I12"/>
  </mergeCells>
  <conditionalFormatting sqref="D17:D2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{EAF7B199-B0E1-4741-BF5F-636CB5738B7C}</x14:id>
        </ext>
      </extLst>
    </cfRule>
  </conditionalFormatting>
  <conditionalFormatting sqref="I17:I2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{54CC6BA6-F806-4A23-BF2B-EE3C522E270A}</x14:id>
        </ext>
      </extLst>
    </cfRule>
  </conditionalFormatting>
  <conditionalFormatting sqref="L17:O18">
    <cfRule type="expression" dxfId="16" priority="6">
      <formula>L17="Completed"</formula>
    </cfRule>
    <cfRule type="expression" dxfId="15" priority="7">
      <formula>L17="On Hold"</formula>
    </cfRule>
  </conditionalFormatting>
  <conditionalFormatting sqref="P17:P18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{F7F56C03-062B-45B5-AFA3-C14212E62BB2}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F7B199-B0E1-4741-BF5F-636CB5738B7C}">
            <x14:dataBar minLength="0" maxLength="100" border="1">
              <x14:cfvo type="autoMin"/>
              <x14:cfvo type="autoMax"/>
              <x14:borderColor rgb="FF000000"/>
              <x14:negativeFillColor rgb="FFFF0000"/>
              <x14:axisColor rgb="FF000000"/>
            </x14:dataBar>
          </x14:cfRule>
          <xm:sqref>D17:D22</xm:sqref>
        </x14:conditionalFormatting>
        <x14:conditionalFormatting xmlns:xm="http://schemas.microsoft.com/office/excel/2006/main">
          <x14:cfRule type="dataBar" id="{54CC6BA6-F806-4A23-BF2B-EE3C522E270A}">
            <x14:dataBar minLength="0" maxLength="100" border="1">
              <x14:cfvo type="autoMin"/>
              <x14:cfvo type="autoMax"/>
              <x14:borderColor rgb="FF000000"/>
              <x14:negativeFillColor rgb="FFFF0000"/>
              <x14:axisColor rgb="FF000000"/>
            </x14:dataBar>
          </x14:cfRule>
          <xm:sqref>I17:I20</xm:sqref>
        </x14:conditionalFormatting>
        <x14:conditionalFormatting xmlns:xm="http://schemas.microsoft.com/office/excel/2006/main">
          <x14:cfRule type="dataBar" id="{F7F56C03-062B-45B5-AFA3-C14212E62BB2}">
            <x14:dataBar minLength="0" maxLength="100" border="1">
              <x14:cfvo type="autoMin"/>
              <x14:cfvo type="autoMax"/>
              <x14:borderColor rgb="FF000000"/>
              <x14:negativeFillColor rgb="FFFF0000"/>
              <x14:axisColor rgb="FF000000"/>
            </x14:dataBar>
          </x14:cfRule>
          <xm:sqref>P17:P18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D79D75EA-E131-4BBE-98B0-192F8582D56C}">
          <x14:formula1>
            <xm:f>Settings!$D$4:$D$8</xm:f>
          </x14:formula1>
          <xm:sqref>L17:O18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3"/>
  <sheetViews>
    <sheetView showGridLines="0" topLeftCell="B2" zoomScale="57" workbookViewId="0">
      <selection activeCell="D20" sqref="D20"/>
    </sheetView>
  </sheetViews>
  <sheetFormatPr baseColWidth="10" defaultColWidth="8.83203125" defaultRowHeight="15"/>
  <cols>
    <col min="1" max="1" width="12" customWidth="1"/>
    <col min="2" max="2" width="42.6640625" bestFit="1" customWidth="1"/>
    <col min="3" max="3" width="18" customWidth="1"/>
    <col min="4" max="4" width="40.1640625" bestFit="1" customWidth="1"/>
    <col min="5" max="5" width="7.6640625" bestFit="1" customWidth="1"/>
    <col min="6" max="7" width="12" customWidth="1"/>
    <col min="8" max="8" width="10" customWidth="1"/>
    <col min="9" max="9" width="18" customWidth="1"/>
    <col min="10" max="12" width="14" customWidth="1"/>
    <col min="13" max="13" width="13" customWidth="1"/>
    <col min="14" max="14" width="14" customWidth="1"/>
    <col min="15" max="15" width="15" customWidth="1"/>
    <col min="16" max="16" width="16" customWidth="1"/>
    <col min="17" max="17" width="10" customWidth="1"/>
    <col min="18" max="18" width="12" customWidth="1"/>
    <col min="19" max="19" width="14" customWidth="1"/>
    <col min="20" max="20" width="10" customWidth="1"/>
    <col min="21" max="21" width="14" customWidth="1"/>
    <col min="22" max="22" width="10" customWidth="1"/>
  </cols>
  <sheetData>
    <row r="1" spans="1:22" ht="30" customHeight="1">
      <c r="A1" s="49" t="s">
        <v>43</v>
      </c>
      <c r="B1" s="49" t="s">
        <v>43</v>
      </c>
      <c r="C1" s="49" t="s">
        <v>43</v>
      </c>
      <c r="D1" s="49" t="s">
        <v>43</v>
      </c>
      <c r="E1" s="49" t="s">
        <v>43</v>
      </c>
      <c r="F1" s="49" t="s">
        <v>43</v>
      </c>
      <c r="G1" s="49" t="s">
        <v>43</v>
      </c>
      <c r="H1" s="49" t="s">
        <v>43</v>
      </c>
      <c r="I1" s="49" t="s">
        <v>43</v>
      </c>
      <c r="J1" s="49" t="s">
        <v>43</v>
      </c>
      <c r="K1" s="49" t="s">
        <v>43</v>
      </c>
      <c r="L1" s="49" t="s">
        <v>43</v>
      </c>
      <c r="M1" s="49" t="s">
        <v>43</v>
      </c>
      <c r="N1" s="49" t="s">
        <v>43</v>
      </c>
      <c r="O1" s="49" t="s">
        <v>43</v>
      </c>
      <c r="P1" s="49" t="s">
        <v>43</v>
      </c>
      <c r="Q1" s="49" t="s">
        <v>43</v>
      </c>
      <c r="R1" s="49" t="s">
        <v>43</v>
      </c>
      <c r="S1" s="49" t="s">
        <v>43</v>
      </c>
      <c r="T1" s="49" t="s">
        <v>43</v>
      </c>
      <c r="U1" s="49" t="s">
        <v>43</v>
      </c>
      <c r="V1" s="49" t="s">
        <v>43</v>
      </c>
    </row>
    <row r="2" spans="1:22" ht="24" customHeight="1">
      <c r="A2" s="50" t="s">
        <v>44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</row>
    <row r="3" spans="1:22" ht="34" customHeight="1">
      <c r="A3" s="7" t="s">
        <v>45</v>
      </c>
      <c r="B3" s="7" t="s">
        <v>46</v>
      </c>
      <c r="C3" s="7" t="s">
        <v>47</v>
      </c>
      <c r="D3" s="7" t="s">
        <v>48</v>
      </c>
      <c r="E3" s="7" t="s">
        <v>49</v>
      </c>
      <c r="F3" s="7" t="s">
        <v>50</v>
      </c>
      <c r="G3" s="7" t="s">
        <v>51</v>
      </c>
      <c r="H3" s="7" t="s">
        <v>30</v>
      </c>
      <c r="I3" s="7" t="s">
        <v>52</v>
      </c>
      <c r="J3" s="7" t="s">
        <v>53</v>
      </c>
      <c r="K3" s="7" t="s">
        <v>54</v>
      </c>
      <c r="L3" s="7" t="s">
        <v>55</v>
      </c>
      <c r="M3" s="7" t="s">
        <v>56</v>
      </c>
      <c r="N3" s="7" t="s">
        <v>57</v>
      </c>
      <c r="O3" s="7" t="s">
        <v>58</v>
      </c>
      <c r="P3" s="7" t="s">
        <v>59</v>
      </c>
      <c r="Q3" s="7" t="s">
        <v>60</v>
      </c>
      <c r="R3" s="7" t="s">
        <v>61</v>
      </c>
      <c r="S3" s="7" t="s">
        <v>62</v>
      </c>
      <c r="T3" s="7" t="s">
        <v>63</v>
      </c>
      <c r="U3" s="7" t="s">
        <v>64</v>
      </c>
      <c r="V3" s="7" t="s">
        <v>15</v>
      </c>
    </row>
    <row r="4" spans="1:22" ht="22" customHeight="1">
      <c r="A4" s="20" t="s">
        <v>65</v>
      </c>
      <c r="B4" s="22" t="s">
        <v>66</v>
      </c>
      <c r="C4" s="23" t="s">
        <v>67</v>
      </c>
      <c r="D4" s="23" t="s">
        <v>68</v>
      </c>
      <c r="E4" s="11">
        <v>182000</v>
      </c>
      <c r="F4" s="8" t="s">
        <v>69</v>
      </c>
      <c r="G4" s="8" t="s">
        <v>70</v>
      </c>
      <c r="H4" s="8" t="s">
        <v>38</v>
      </c>
      <c r="I4" s="8" t="s">
        <v>71</v>
      </c>
      <c r="J4" s="5">
        <v>46236</v>
      </c>
      <c r="K4" s="5"/>
      <c r="L4" s="13">
        <f t="shared" ref="L4:L33" si="0">IF(B4="","",IF(K4&lt;&gt;"",K4,J4))</f>
        <v>46236</v>
      </c>
      <c r="M4" s="18">
        <v>1</v>
      </c>
      <c r="N4" s="18">
        <v>1</v>
      </c>
      <c r="O4" s="18">
        <v>1</v>
      </c>
      <c r="P4" s="18">
        <v>9</v>
      </c>
      <c r="Q4" s="18">
        <v>1</v>
      </c>
      <c r="R4" s="18">
        <v>1</v>
      </c>
      <c r="S4" s="9" t="str">
        <f>IF(B4="","",'Project Tracker'!N4)</f>
        <v>In Progress</v>
      </c>
      <c r="T4" s="16">
        <f>IF(B4="","",'Project Tracker'!O4)</f>
        <v>0.58333333333333337</v>
      </c>
      <c r="U4" s="13">
        <f>IF(B4="","",'Project Tracker'!M4)</f>
        <v>46253</v>
      </c>
      <c r="V4" s="9" t="str">
        <f ca="1">IF(B4="","",'Project Tracker'!W4)</f>
        <v>Green</v>
      </c>
    </row>
    <row r="5" spans="1:22" ht="22" customHeight="1">
      <c r="A5" s="21" t="s">
        <v>72</v>
      </c>
      <c r="B5" s="24" t="s">
        <v>73</v>
      </c>
      <c r="C5" s="25" t="s">
        <v>74</v>
      </c>
      <c r="D5" s="25" t="s">
        <v>75</v>
      </c>
      <c r="E5" s="12">
        <v>21840</v>
      </c>
      <c r="F5" s="6" t="s">
        <v>69</v>
      </c>
      <c r="G5" s="6" t="s">
        <v>70</v>
      </c>
      <c r="H5" s="6" t="s">
        <v>34</v>
      </c>
      <c r="I5" s="6" t="s">
        <v>71</v>
      </c>
      <c r="J5" s="14">
        <v>46236</v>
      </c>
      <c r="K5" s="14"/>
      <c r="L5" s="15">
        <f t="shared" si="0"/>
        <v>46236</v>
      </c>
      <c r="M5" s="19">
        <v>1</v>
      </c>
      <c r="N5" s="19">
        <v>1</v>
      </c>
      <c r="O5" s="19">
        <v>1</v>
      </c>
      <c r="P5" s="19">
        <v>9</v>
      </c>
      <c r="Q5" s="19">
        <v>1</v>
      </c>
      <c r="R5" s="19">
        <v>1</v>
      </c>
      <c r="S5" s="10" t="str">
        <f>IF(B5="","",'Project Tracker'!N11)</f>
        <v>In Progress</v>
      </c>
      <c r="T5" s="17">
        <f>IF(B5="","",'Project Tracker'!O11)</f>
        <v>0.58333333333333337</v>
      </c>
      <c r="U5" s="15">
        <f>IF(B5="","",'Project Tracker'!M11)</f>
        <v>46253</v>
      </c>
      <c r="V5" s="10" t="str">
        <f ca="1">IF(B5="","",'Project Tracker'!W11)</f>
        <v>Green</v>
      </c>
    </row>
    <row r="6" spans="1:22" ht="22" customHeight="1">
      <c r="A6" s="21" t="s">
        <v>76</v>
      </c>
      <c r="B6" s="24" t="s">
        <v>77</v>
      </c>
      <c r="C6" s="25" t="s">
        <v>74</v>
      </c>
      <c r="D6" s="25" t="s">
        <v>78</v>
      </c>
      <c r="E6" s="12">
        <v>100800</v>
      </c>
      <c r="F6" s="6" t="s">
        <v>69</v>
      </c>
      <c r="G6" s="6" t="s">
        <v>70</v>
      </c>
      <c r="H6" s="6" t="s">
        <v>40</v>
      </c>
      <c r="I6" s="6" t="s">
        <v>71</v>
      </c>
      <c r="J6" s="14">
        <v>46237</v>
      </c>
      <c r="K6" s="14"/>
      <c r="L6" s="15">
        <f t="shared" si="0"/>
        <v>46237</v>
      </c>
      <c r="M6" s="19">
        <v>1</v>
      </c>
      <c r="N6" s="19">
        <v>1</v>
      </c>
      <c r="O6" s="19">
        <v>1</v>
      </c>
      <c r="P6" s="19">
        <v>10</v>
      </c>
      <c r="Q6" s="19">
        <v>1</v>
      </c>
      <c r="R6" s="19">
        <v>1</v>
      </c>
      <c r="S6" s="10" t="str">
        <f>IF(B6="","",'Project Tracker'!N18)</f>
        <v>In Progress</v>
      </c>
      <c r="T6" s="17">
        <f>IF(B6="","",'Project Tracker'!O18)</f>
        <v>0.58333333333333337</v>
      </c>
      <c r="U6" s="15">
        <f>IF(B6="","",'Project Tracker'!M18)</f>
        <v>46257</v>
      </c>
      <c r="V6" s="10" t="str">
        <f ca="1">IF(B6="","",'Project Tracker'!W18)</f>
        <v>Green</v>
      </c>
    </row>
    <row r="7" spans="1:22" ht="22" customHeight="1">
      <c r="A7" s="21" t="s">
        <v>79</v>
      </c>
      <c r="B7" s="24" t="s">
        <v>80</v>
      </c>
      <c r="C7" s="25" t="s">
        <v>74</v>
      </c>
      <c r="D7" s="25" t="s">
        <v>81</v>
      </c>
      <c r="E7" s="12">
        <v>182000</v>
      </c>
      <c r="F7" s="6" t="s">
        <v>82</v>
      </c>
      <c r="G7" s="6" t="s">
        <v>70</v>
      </c>
      <c r="H7" s="6" t="s">
        <v>36</v>
      </c>
      <c r="I7" s="6" t="s">
        <v>71</v>
      </c>
      <c r="J7" s="14">
        <v>46236</v>
      </c>
      <c r="K7" s="14"/>
      <c r="L7" s="15">
        <f t="shared" si="0"/>
        <v>46236</v>
      </c>
      <c r="M7" s="19">
        <v>1</v>
      </c>
      <c r="N7" s="19">
        <v>1</v>
      </c>
      <c r="O7" s="19">
        <v>1</v>
      </c>
      <c r="P7" s="19">
        <v>40</v>
      </c>
      <c r="Q7" s="19">
        <v>1</v>
      </c>
      <c r="R7" s="19">
        <v>1</v>
      </c>
      <c r="S7" s="10" t="str">
        <f>IF(B7="","",'Project Tracker'!N25)</f>
        <v>In Progress</v>
      </c>
      <c r="T7" s="17">
        <f>IF(B7="","",'Project Tracker'!O25)</f>
        <v>0.25</v>
      </c>
      <c r="U7" s="15">
        <f>IF(B7="","",'Project Tracker'!M25)</f>
        <v>46296</v>
      </c>
      <c r="V7" s="10" t="str">
        <f ca="1">IF(B7="","",'Project Tracker'!W25)</f>
        <v>Green</v>
      </c>
    </row>
    <row r="8" spans="1:22" ht="22" customHeight="1">
      <c r="A8" s="21" t="s">
        <v>83</v>
      </c>
      <c r="B8" s="24" t="s">
        <v>84</v>
      </c>
      <c r="C8" s="25" t="s">
        <v>67</v>
      </c>
      <c r="D8" s="25" t="s">
        <v>85</v>
      </c>
      <c r="E8" s="12">
        <v>100100</v>
      </c>
      <c r="F8" s="6" t="s">
        <v>86</v>
      </c>
      <c r="G8" s="6" t="s">
        <v>70</v>
      </c>
      <c r="H8" s="6" t="s">
        <v>42</v>
      </c>
      <c r="I8" s="6" t="s">
        <v>71</v>
      </c>
      <c r="J8" s="14">
        <v>46238</v>
      </c>
      <c r="K8" s="14"/>
      <c r="L8" s="15">
        <f t="shared" si="0"/>
        <v>46238</v>
      </c>
      <c r="M8" s="19">
        <v>1</v>
      </c>
      <c r="N8" s="19">
        <v>1</v>
      </c>
      <c r="O8" s="19">
        <v>1</v>
      </c>
      <c r="P8" s="19">
        <v>33</v>
      </c>
      <c r="Q8" s="19">
        <v>1</v>
      </c>
      <c r="R8" s="19">
        <v>1</v>
      </c>
      <c r="S8" s="10" t="str">
        <f>IF(B8="","",'Project Tracker'!N32)</f>
        <v>In Progress</v>
      </c>
      <c r="T8" s="17">
        <f>IF(B8="","",'Project Tracker'!O32)</f>
        <v>0.25</v>
      </c>
      <c r="U8" s="15">
        <f>IF(B8="","",'Project Tracker'!M32)</f>
        <v>46289</v>
      </c>
      <c r="V8" s="10" t="str">
        <f ca="1">IF(B8="","",'Project Tracker'!W32)</f>
        <v>Green</v>
      </c>
    </row>
    <row r="9" spans="1:22" ht="22" customHeight="1">
      <c r="A9" s="21" t="s">
        <v>87</v>
      </c>
      <c r="B9" s="24" t="s">
        <v>88</v>
      </c>
      <c r="C9" s="25" t="s">
        <v>89</v>
      </c>
      <c r="D9" s="25" t="s">
        <v>90</v>
      </c>
      <c r="E9" s="12">
        <v>75833</v>
      </c>
      <c r="F9" s="6" t="s">
        <v>91</v>
      </c>
      <c r="G9" s="6" t="s">
        <v>70</v>
      </c>
      <c r="H9" s="6" t="s">
        <v>38</v>
      </c>
      <c r="I9" s="6" t="s">
        <v>71</v>
      </c>
      <c r="J9" s="14">
        <v>46247</v>
      </c>
      <c r="K9" s="14"/>
      <c r="L9" s="15">
        <f t="shared" si="0"/>
        <v>46247</v>
      </c>
      <c r="M9" s="19">
        <v>1</v>
      </c>
      <c r="N9" s="19">
        <v>1</v>
      </c>
      <c r="O9" s="19">
        <v>1</v>
      </c>
      <c r="P9" s="19">
        <v>8</v>
      </c>
      <c r="Q9" s="19">
        <v>1</v>
      </c>
      <c r="R9" s="19">
        <v>1</v>
      </c>
      <c r="S9" s="10" t="str">
        <f>IF(B9="","",'Project Tracker'!N39)</f>
        <v>In Progress</v>
      </c>
      <c r="T9" s="17">
        <f>IF(B9="","",'Project Tracker'!O39)</f>
        <v>0.41666666666666669</v>
      </c>
      <c r="U9" s="15">
        <f>IF(B9="","",'Project Tracker'!M39)</f>
        <v>46265</v>
      </c>
      <c r="V9" s="10" t="str">
        <f ca="1">IF(B9="","",'Project Tracker'!W39)</f>
        <v>Green</v>
      </c>
    </row>
    <row r="10" spans="1:22" ht="22" customHeight="1">
      <c r="A10" s="21" t="s">
        <v>92</v>
      </c>
      <c r="B10" s="24" t="s">
        <v>93</v>
      </c>
      <c r="C10" s="25" t="s">
        <v>74</v>
      </c>
      <c r="D10" s="25" t="s">
        <v>81</v>
      </c>
      <c r="E10" s="12">
        <v>72800</v>
      </c>
      <c r="F10" s="6" t="s">
        <v>86</v>
      </c>
      <c r="G10" s="6" t="s">
        <v>70</v>
      </c>
      <c r="H10" s="6" t="s">
        <v>34</v>
      </c>
      <c r="I10" s="6" t="s">
        <v>71</v>
      </c>
      <c r="J10" s="14">
        <v>46258</v>
      </c>
      <c r="K10" s="14"/>
      <c r="L10" s="15">
        <f t="shared" si="0"/>
        <v>46258</v>
      </c>
      <c r="M10" s="19">
        <v>1</v>
      </c>
      <c r="N10" s="19">
        <v>1</v>
      </c>
      <c r="O10" s="19">
        <v>1</v>
      </c>
      <c r="P10" s="19">
        <v>16</v>
      </c>
      <c r="Q10" s="19">
        <v>1</v>
      </c>
      <c r="R10" s="19">
        <v>1</v>
      </c>
      <c r="S10" s="10" t="str">
        <f>IF(B10="","",'Project Tracker'!N46)</f>
        <v>In Progress</v>
      </c>
      <c r="T10" s="17">
        <f>IF(B10="","",'Project Tracker'!O46)</f>
        <v>0.25</v>
      </c>
      <c r="U10" s="15">
        <f>IF(B10="","",'Project Tracker'!M46)</f>
        <v>46286</v>
      </c>
      <c r="V10" s="10" t="str">
        <f ca="1">IF(B10="","",'Project Tracker'!W46)</f>
        <v>Green</v>
      </c>
    </row>
    <row r="11" spans="1:22" ht="22" customHeight="1">
      <c r="A11" s="21" t="s">
        <v>94</v>
      </c>
      <c r="B11" s="24" t="s">
        <v>95</v>
      </c>
      <c r="C11" s="25" t="s">
        <v>74</v>
      </c>
      <c r="D11" s="25" t="s">
        <v>81</v>
      </c>
      <c r="E11" s="12">
        <v>72800</v>
      </c>
      <c r="F11" s="6" t="s">
        <v>86</v>
      </c>
      <c r="G11" s="6" t="s">
        <v>70</v>
      </c>
      <c r="H11" s="6" t="s">
        <v>40</v>
      </c>
      <c r="I11" s="6" t="s">
        <v>71</v>
      </c>
      <c r="J11" s="14">
        <v>46303</v>
      </c>
      <c r="K11" s="14"/>
      <c r="L11" s="15">
        <f t="shared" si="0"/>
        <v>46303</v>
      </c>
      <c r="M11" s="19">
        <v>1</v>
      </c>
      <c r="N11" s="19">
        <v>1</v>
      </c>
      <c r="O11" s="19">
        <v>1</v>
      </c>
      <c r="P11" s="19">
        <v>11</v>
      </c>
      <c r="Q11" s="19">
        <v>1</v>
      </c>
      <c r="R11" s="19">
        <v>1</v>
      </c>
      <c r="S11" s="10" t="str">
        <f>IF(B11="","",'Project Tracker'!N53)</f>
        <v>In Progress</v>
      </c>
      <c r="T11" s="17">
        <f>IF(B11="","",'Project Tracker'!O53)</f>
        <v>0.25</v>
      </c>
      <c r="U11" s="15">
        <f>IF(B11="","",'Project Tracker'!M53)</f>
        <v>46324</v>
      </c>
      <c r="V11" s="10" t="str">
        <f ca="1">IF(B11="","",'Project Tracker'!W53)</f>
        <v>Green</v>
      </c>
    </row>
    <row r="12" spans="1:22" ht="22" customHeight="1">
      <c r="A12" s="21" t="s">
        <v>96</v>
      </c>
      <c r="B12" s="24" t="s">
        <v>97</v>
      </c>
      <c r="C12" s="25" t="s">
        <v>74</v>
      </c>
      <c r="D12" s="25" t="s">
        <v>81</v>
      </c>
      <c r="E12" s="12">
        <v>67200</v>
      </c>
      <c r="F12" s="6" t="s">
        <v>86</v>
      </c>
      <c r="G12" s="6" t="s">
        <v>70</v>
      </c>
      <c r="H12" s="6" t="s">
        <v>38</v>
      </c>
      <c r="I12" s="6" t="s">
        <v>71</v>
      </c>
      <c r="J12" s="14">
        <v>46296</v>
      </c>
      <c r="K12" s="14"/>
      <c r="L12" s="15">
        <f t="shared" si="0"/>
        <v>46296</v>
      </c>
      <c r="M12" s="19">
        <v>3</v>
      </c>
      <c r="N12" s="19">
        <v>1</v>
      </c>
      <c r="O12" s="19">
        <v>11</v>
      </c>
      <c r="P12" s="19">
        <v>1</v>
      </c>
      <c r="Q12" s="19">
        <v>4</v>
      </c>
      <c r="R12" s="19">
        <v>1</v>
      </c>
      <c r="S12" s="10" t="str">
        <f>IF(B12="","",'Project Tracker'!N60)</f>
        <v>In Progress</v>
      </c>
      <c r="T12" s="17">
        <f>IF(B12="","",'Project Tracker'!O60)</f>
        <v>0.25</v>
      </c>
      <c r="U12" s="15">
        <f>IF(B12="","",'Project Tracker'!M60)</f>
        <v>46324</v>
      </c>
      <c r="V12" s="10" t="str">
        <f ca="1">IF(B12="","",'Project Tracker'!W60)</f>
        <v>Green</v>
      </c>
    </row>
    <row r="13" spans="1:22" ht="22" customHeight="1">
      <c r="A13" s="21" t="s">
        <v>98</v>
      </c>
      <c r="B13" s="24" t="s">
        <v>99</v>
      </c>
      <c r="C13" s="25" t="s">
        <v>67</v>
      </c>
      <c r="D13" s="25" t="s">
        <v>100</v>
      </c>
      <c r="E13" s="12">
        <v>66360</v>
      </c>
      <c r="F13" s="6" t="s">
        <v>69</v>
      </c>
      <c r="G13" s="6" t="s">
        <v>70</v>
      </c>
      <c r="H13" s="6" t="s">
        <v>40</v>
      </c>
      <c r="I13" s="6" t="s">
        <v>71</v>
      </c>
      <c r="J13" s="14">
        <v>46265</v>
      </c>
      <c r="K13" s="14"/>
      <c r="L13" s="15">
        <f t="shared" si="0"/>
        <v>46265</v>
      </c>
      <c r="M13" s="19">
        <v>1</v>
      </c>
      <c r="N13" s="19">
        <v>1</v>
      </c>
      <c r="O13" s="19">
        <v>1</v>
      </c>
      <c r="P13" s="19">
        <v>15</v>
      </c>
      <c r="Q13" s="19">
        <v>1</v>
      </c>
      <c r="R13" s="19">
        <v>1</v>
      </c>
      <c r="S13" s="10" t="str">
        <f>IF(B13="","",'Project Tracker'!N67)</f>
        <v>In Progress</v>
      </c>
      <c r="T13" s="17">
        <f>IF(B13="","",'Project Tracker'!O67)</f>
        <v>0.25</v>
      </c>
      <c r="U13" s="15">
        <f>IF(B13="","",'Project Tracker'!M67)</f>
        <v>46292</v>
      </c>
      <c r="V13" s="10" t="str">
        <f ca="1">IF(B13="","",'Project Tracker'!W67)</f>
        <v>Green</v>
      </c>
    </row>
    <row r="14" spans="1:22" ht="22" customHeight="1">
      <c r="A14" s="21" t="s">
        <v>101</v>
      </c>
      <c r="B14" s="24" t="s">
        <v>102</v>
      </c>
      <c r="C14" s="25" t="s">
        <v>74</v>
      </c>
      <c r="D14" s="25" t="s">
        <v>81</v>
      </c>
      <c r="E14" s="12">
        <v>63280</v>
      </c>
      <c r="F14" s="6" t="s">
        <v>69</v>
      </c>
      <c r="G14" s="6" t="s">
        <v>70</v>
      </c>
      <c r="H14" s="6" t="s">
        <v>34</v>
      </c>
      <c r="I14" s="6" t="s">
        <v>71</v>
      </c>
      <c r="J14" s="14">
        <v>46278</v>
      </c>
      <c r="K14" s="14"/>
      <c r="L14" s="15">
        <f t="shared" si="0"/>
        <v>46278</v>
      </c>
      <c r="M14" s="19">
        <v>1</v>
      </c>
      <c r="N14" s="19">
        <v>1</v>
      </c>
      <c r="O14" s="19">
        <v>1</v>
      </c>
      <c r="P14" s="19">
        <v>22</v>
      </c>
      <c r="Q14" s="19">
        <v>1</v>
      </c>
      <c r="R14" s="19">
        <v>1</v>
      </c>
      <c r="S14" s="10" t="str">
        <f>IF(B14="","",'Project Tracker'!N74)</f>
        <v>In Progress</v>
      </c>
      <c r="T14" s="17">
        <f>IF(B14="","",'Project Tracker'!O74)</f>
        <v>0.25</v>
      </c>
      <c r="U14" s="15">
        <f>IF(B14="","",'Project Tracker'!M74)</f>
        <v>46314</v>
      </c>
      <c r="V14" s="10" t="str">
        <f ca="1">IF(B14="","",'Project Tracker'!W74)</f>
        <v>Green</v>
      </c>
    </row>
    <row r="15" spans="1:22" ht="22" customHeight="1">
      <c r="A15" s="21" t="s">
        <v>103</v>
      </c>
      <c r="B15" s="24" t="s">
        <v>104</v>
      </c>
      <c r="C15" s="25" t="s">
        <v>74</v>
      </c>
      <c r="D15" s="25" t="s">
        <v>81</v>
      </c>
      <c r="E15" s="12">
        <v>49000</v>
      </c>
      <c r="F15" s="6" t="s">
        <v>69</v>
      </c>
      <c r="G15" s="6" t="s">
        <v>70</v>
      </c>
      <c r="H15" s="6" t="s">
        <v>40</v>
      </c>
      <c r="I15" s="6" t="s">
        <v>71</v>
      </c>
      <c r="J15" s="14">
        <v>46273</v>
      </c>
      <c r="K15" s="14"/>
      <c r="L15" s="15">
        <f t="shared" si="0"/>
        <v>46273</v>
      </c>
      <c r="M15" s="19">
        <v>2</v>
      </c>
      <c r="N15" s="19">
        <v>1</v>
      </c>
      <c r="O15" s="19">
        <v>1</v>
      </c>
      <c r="P15" s="19">
        <v>15</v>
      </c>
      <c r="Q15" s="19">
        <v>1</v>
      </c>
      <c r="R15" s="19">
        <v>1</v>
      </c>
      <c r="S15" s="10" t="str">
        <f>IF(B15="","",'Project Tracker'!N81)</f>
        <v>In Progress</v>
      </c>
      <c r="T15" s="17">
        <f>IF(B15="","",'Project Tracker'!O81)</f>
        <v>0.25</v>
      </c>
      <c r="U15" s="15">
        <f>IF(B15="","",'Project Tracker'!M81)</f>
        <v>46301</v>
      </c>
      <c r="V15" s="10" t="str">
        <f ca="1">IF(B15="","",'Project Tracker'!W81)</f>
        <v>Green</v>
      </c>
    </row>
    <row r="16" spans="1:22" ht="22" customHeight="1">
      <c r="A16" s="21" t="s">
        <v>105</v>
      </c>
      <c r="B16" s="24" t="s">
        <v>106</v>
      </c>
      <c r="C16" s="25" t="s">
        <v>74</v>
      </c>
      <c r="D16" s="25" t="s">
        <v>81</v>
      </c>
      <c r="E16" s="12">
        <v>48720</v>
      </c>
      <c r="F16" s="6" t="s">
        <v>69</v>
      </c>
      <c r="G16" s="6" t="s">
        <v>70</v>
      </c>
      <c r="H16" s="6" t="s">
        <v>42</v>
      </c>
      <c r="I16" s="6" t="s">
        <v>71</v>
      </c>
      <c r="J16" s="14">
        <v>46299</v>
      </c>
      <c r="K16" s="14"/>
      <c r="L16" s="15">
        <f t="shared" si="0"/>
        <v>46299</v>
      </c>
      <c r="M16" s="19">
        <v>1</v>
      </c>
      <c r="N16" s="19">
        <v>1</v>
      </c>
      <c r="O16" s="19">
        <v>1</v>
      </c>
      <c r="P16" s="19">
        <v>14</v>
      </c>
      <c r="Q16" s="19">
        <v>1</v>
      </c>
      <c r="R16" s="19">
        <v>1</v>
      </c>
      <c r="S16" s="10" t="str">
        <f>IF(B16="","",'Project Tracker'!N88)</f>
        <v>In Progress</v>
      </c>
      <c r="T16" s="17">
        <f>IF(B16="","",'Project Tracker'!O88)</f>
        <v>0.25</v>
      </c>
      <c r="U16" s="15">
        <f>IF(B16="","",'Project Tracker'!M88)</f>
        <v>46323</v>
      </c>
      <c r="V16" s="10" t="str">
        <f ca="1">IF(B16="","",'Project Tracker'!W88)</f>
        <v>Green</v>
      </c>
    </row>
    <row r="17" spans="1:22" ht="22" customHeight="1">
      <c r="A17" s="21" t="s">
        <v>107</v>
      </c>
      <c r="B17" s="24" t="s">
        <v>108</v>
      </c>
      <c r="C17" s="25" t="s">
        <v>67</v>
      </c>
      <c r="D17" s="25" t="s">
        <v>85</v>
      </c>
      <c r="E17" s="12">
        <v>36400</v>
      </c>
      <c r="F17" s="6" t="s">
        <v>69</v>
      </c>
      <c r="G17" s="6" t="s">
        <v>70</v>
      </c>
      <c r="H17" s="6" t="s">
        <v>38</v>
      </c>
      <c r="I17" s="6" t="s">
        <v>71</v>
      </c>
      <c r="J17" s="14">
        <v>46257</v>
      </c>
      <c r="K17" s="14"/>
      <c r="L17" s="15">
        <f t="shared" si="0"/>
        <v>46257</v>
      </c>
      <c r="M17" s="19">
        <v>1</v>
      </c>
      <c r="N17" s="19">
        <v>1</v>
      </c>
      <c r="O17" s="19">
        <v>1</v>
      </c>
      <c r="P17" s="19">
        <v>7</v>
      </c>
      <c r="Q17" s="19">
        <v>1</v>
      </c>
      <c r="R17" s="19">
        <v>1</v>
      </c>
      <c r="S17" s="10" t="str">
        <f>IF(B17="","",'Project Tracker'!N95)</f>
        <v>Not Started</v>
      </c>
      <c r="T17" s="17">
        <f>IF(B17="","",'Project Tracker'!O95)</f>
        <v>0</v>
      </c>
      <c r="U17" s="15">
        <f>IF(B17="","",'Project Tracker'!M95)</f>
        <v>46272</v>
      </c>
      <c r="V17" s="10" t="str">
        <f ca="1">IF(B17="","",'Project Tracker'!W95)</f>
        <v>Green</v>
      </c>
    </row>
    <row r="18" spans="1:22" ht="22" customHeight="1">
      <c r="A18" s="21" t="s">
        <v>109</v>
      </c>
      <c r="B18" s="24" t="s">
        <v>110</v>
      </c>
      <c r="C18" s="25" t="s">
        <v>74</v>
      </c>
      <c r="D18" s="25" t="s">
        <v>85</v>
      </c>
      <c r="E18" s="12">
        <v>13440</v>
      </c>
      <c r="F18" s="6" t="s">
        <v>69</v>
      </c>
      <c r="G18" s="6" t="s">
        <v>70</v>
      </c>
      <c r="H18" s="6" t="s">
        <v>36</v>
      </c>
      <c r="I18" s="6" t="s">
        <v>71</v>
      </c>
      <c r="J18" s="14">
        <v>46259</v>
      </c>
      <c r="K18" s="14"/>
      <c r="L18" s="15">
        <f t="shared" si="0"/>
        <v>46259</v>
      </c>
      <c r="M18" s="19">
        <v>1</v>
      </c>
      <c r="N18" s="19">
        <v>1</v>
      </c>
      <c r="O18" s="19">
        <v>1</v>
      </c>
      <c r="P18" s="19">
        <v>20</v>
      </c>
      <c r="Q18" s="19">
        <v>1</v>
      </c>
      <c r="R18" s="19">
        <v>1</v>
      </c>
      <c r="S18" s="10" t="str">
        <f>IF(B18="","",'Project Tracker'!N102)</f>
        <v>In Progress</v>
      </c>
      <c r="T18" s="17">
        <f>IF(B18="","",'Project Tracker'!O102)</f>
        <v>0.25</v>
      </c>
      <c r="U18" s="15">
        <f>IF(B18="","",'Project Tracker'!M102)</f>
        <v>46293</v>
      </c>
      <c r="V18" s="10" t="str">
        <f ca="1">IF(B18="","",'Project Tracker'!W102)</f>
        <v>Green</v>
      </c>
    </row>
    <row r="19" spans="1:22" ht="22" customHeight="1">
      <c r="A19" s="21" t="s">
        <v>111</v>
      </c>
      <c r="B19" s="24" t="s">
        <v>112</v>
      </c>
      <c r="C19" s="25" t="s">
        <v>89</v>
      </c>
      <c r="D19" s="25" t="s">
        <v>113</v>
      </c>
      <c r="E19" s="12">
        <v>13440</v>
      </c>
      <c r="F19" s="6" t="s">
        <v>69</v>
      </c>
      <c r="G19" s="6" t="s">
        <v>70</v>
      </c>
      <c r="H19" s="6" t="s">
        <v>34</v>
      </c>
      <c r="I19" s="6" t="s">
        <v>71</v>
      </c>
      <c r="J19" s="14">
        <v>46261</v>
      </c>
      <c r="K19" s="14"/>
      <c r="L19" s="15">
        <f t="shared" si="0"/>
        <v>46261</v>
      </c>
      <c r="M19" s="19">
        <v>1</v>
      </c>
      <c r="N19" s="19">
        <v>1</v>
      </c>
      <c r="O19" s="19">
        <v>1</v>
      </c>
      <c r="P19" s="19">
        <v>15</v>
      </c>
      <c r="Q19" s="19">
        <v>1</v>
      </c>
      <c r="R19" s="19">
        <v>1</v>
      </c>
      <c r="S19" s="10" t="str">
        <f>IF(B19="","",'Project Tracker'!N109)</f>
        <v>In Progress</v>
      </c>
      <c r="T19" s="17">
        <f>IF(B19="","",'Project Tracker'!O109)</f>
        <v>0.25</v>
      </c>
      <c r="U19" s="15">
        <f>IF(B19="","",'Project Tracker'!M109)</f>
        <v>46288</v>
      </c>
      <c r="V19" s="10" t="str">
        <f ca="1">IF(B19="","",'Project Tracker'!W109)</f>
        <v>Green</v>
      </c>
    </row>
    <row r="20" spans="1:22" ht="22" customHeight="1">
      <c r="A20" s="21" t="s">
        <v>114</v>
      </c>
      <c r="B20" s="24" t="s">
        <v>115</v>
      </c>
      <c r="C20" s="25"/>
      <c r="D20" s="25"/>
      <c r="E20" s="12"/>
      <c r="F20" s="6" t="s">
        <v>69</v>
      </c>
      <c r="G20" s="6" t="s">
        <v>70</v>
      </c>
      <c r="H20" s="6" t="s">
        <v>38</v>
      </c>
      <c r="I20" s="6" t="s">
        <v>116</v>
      </c>
      <c r="J20" s="14">
        <v>46317</v>
      </c>
      <c r="K20" s="14"/>
      <c r="L20" s="15">
        <f t="shared" si="0"/>
        <v>46317</v>
      </c>
      <c r="M20" s="19">
        <v>20</v>
      </c>
      <c r="N20" s="19">
        <v>1</v>
      </c>
      <c r="O20" s="19">
        <v>1</v>
      </c>
      <c r="P20" s="19">
        <v>10</v>
      </c>
      <c r="Q20" s="19">
        <v>1</v>
      </c>
      <c r="R20" s="19">
        <v>1</v>
      </c>
      <c r="S20" s="10" t="str">
        <f>IF(B20="","",'Project Tracker'!N116)</f>
        <v>Not Started</v>
      </c>
      <c r="T20" s="17">
        <f>IF(B20="","",'Project Tracker'!O116)</f>
        <v>0</v>
      </c>
      <c r="U20" s="15">
        <f>IF(B20="","",'Project Tracker'!M116)</f>
        <v>46364</v>
      </c>
      <c r="V20" s="10" t="str">
        <f ca="1">IF(B20="","",'Project Tracker'!W116)</f>
        <v>Green</v>
      </c>
    </row>
    <row r="21" spans="1:22" ht="22" customHeight="1">
      <c r="A21" s="21" t="s">
        <v>117</v>
      </c>
      <c r="B21" s="24" t="s">
        <v>118</v>
      </c>
      <c r="C21" s="25"/>
      <c r="D21" s="25"/>
      <c r="E21" s="12"/>
      <c r="F21" s="6"/>
      <c r="G21" s="6"/>
      <c r="H21" s="6" t="s">
        <v>40</v>
      </c>
      <c r="I21" s="6" t="s">
        <v>116</v>
      </c>
      <c r="J21" s="14">
        <v>46308</v>
      </c>
      <c r="K21" s="14"/>
      <c r="L21" s="15">
        <f t="shared" si="0"/>
        <v>46308</v>
      </c>
      <c r="M21" s="19">
        <v>20</v>
      </c>
      <c r="N21" s="19">
        <v>1</v>
      </c>
      <c r="O21" s="19">
        <v>1</v>
      </c>
      <c r="P21" s="19">
        <v>10</v>
      </c>
      <c r="Q21" s="19">
        <v>1</v>
      </c>
      <c r="R21" s="19">
        <v>1</v>
      </c>
      <c r="S21" s="10" t="str">
        <f>IF(B21="","",'Project Tracker'!N123)</f>
        <v>Not Started</v>
      </c>
      <c r="T21" s="17">
        <f>IF(B21="","",'Project Tracker'!O123)</f>
        <v>0</v>
      </c>
      <c r="U21" s="15">
        <f>IF(B21="","",'Project Tracker'!M123)</f>
        <v>46355</v>
      </c>
      <c r="V21" s="10" t="str">
        <f ca="1">IF(B21="","",'Project Tracker'!W123)</f>
        <v>Green</v>
      </c>
    </row>
    <row r="22" spans="1:22" ht="22" customHeight="1">
      <c r="A22" s="21" t="s">
        <v>119</v>
      </c>
      <c r="B22" s="24" t="s">
        <v>120</v>
      </c>
      <c r="C22" s="25"/>
      <c r="D22" s="25"/>
      <c r="E22" s="12"/>
      <c r="F22" s="6"/>
      <c r="G22" s="6"/>
      <c r="H22" s="6" t="s">
        <v>42</v>
      </c>
      <c r="I22" s="6" t="s">
        <v>116</v>
      </c>
      <c r="J22" s="14">
        <v>46331</v>
      </c>
      <c r="K22" s="14"/>
      <c r="L22" s="15">
        <f t="shared" si="0"/>
        <v>46331</v>
      </c>
      <c r="M22" s="19">
        <v>20</v>
      </c>
      <c r="N22" s="19">
        <v>1</v>
      </c>
      <c r="O22" s="19">
        <v>1</v>
      </c>
      <c r="P22" s="19">
        <v>10</v>
      </c>
      <c r="Q22" s="19">
        <v>1</v>
      </c>
      <c r="R22" s="19">
        <v>1</v>
      </c>
      <c r="S22" s="10" t="str">
        <f>IF(B22="","",'Project Tracker'!N130)</f>
        <v>Not Started</v>
      </c>
      <c r="T22" s="17">
        <f>IF(B22="","",'Project Tracker'!O130)</f>
        <v>0</v>
      </c>
      <c r="U22" s="15">
        <f>IF(B22="","",'Project Tracker'!M130)</f>
        <v>46378</v>
      </c>
      <c r="V22" s="10" t="str">
        <f ca="1">IF(B22="","",'Project Tracker'!W130)</f>
        <v>Green</v>
      </c>
    </row>
    <row r="23" spans="1:22" ht="22" customHeight="1">
      <c r="A23" s="21" t="s">
        <v>121</v>
      </c>
      <c r="B23" s="24" t="s">
        <v>122</v>
      </c>
      <c r="C23" s="25"/>
      <c r="D23" s="25"/>
      <c r="E23" s="12"/>
      <c r="F23" s="6"/>
      <c r="G23" s="6"/>
      <c r="H23" s="6" t="s">
        <v>38</v>
      </c>
      <c r="I23" s="6" t="s">
        <v>116</v>
      </c>
      <c r="J23" s="14">
        <v>46330</v>
      </c>
      <c r="K23" s="14"/>
      <c r="L23" s="15">
        <f t="shared" si="0"/>
        <v>46330</v>
      </c>
      <c r="M23" s="19">
        <v>20</v>
      </c>
      <c r="N23" s="19">
        <v>1</v>
      </c>
      <c r="O23" s="19">
        <v>1</v>
      </c>
      <c r="P23" s="19">
        <v>10</v>
      </c>
      <c r="Q23" s="19">
        <v>1</v>
      </c>
      <c r="R23" s="19">
        <v>1</v>
      </c>
      <c r="S23" s="10" t="str">
        <f>IF(B23="","",'Project Tracker'!N137)</f>
        <v>Not Started</v>
      </c>
      <c r="T23" s="17">
        <f>IF(B23="","",'Project Tracker'!O137)</f>
        <v>0</v>
      </c>
      <c r="U23" s="15">
        <f>IF(B23="","",'Project Tracker'!M137)</f>
        <v>46377</v>
      </c>
      <c r="V23" s="10" t="str">
        <f ca="1">IF(B23="","",'Project Tracker'!W137)</f>
        <v>Green</v>
      </c>
    </row>
    <row r="24" spans="1:22" ht="22" customHeight="1">
      <c r="A24" s="21" t="s">
        <v>123</v>
      </c>
      <c r="B24" s="24" t="s">
        <v>124</v>
      </c>
      <c r="C24" s="25"/>
      <c r="D24" s="25"/>
      <c r="E24" s="12"/>
      <c r="F24" s="6"/>
      <c r="G24" s="6"/>
      <c r="H24" s="6" t="s">
        <v>34</v>
      </c>
      <c r="I24" s="6" t="s">
        <v>116</v>
      </c>
      <c r="J24" s="14">
        <v>46322</v>
      </c>
      <c r="K24" s="14"/>
      <c r="L24" s="15">
        <f t="shared" si="0"/>
        <v>46322</v>
      </c>
      <c r="M24" s="19">
        <v>20</v>
      </c>
      <c r="N24" s="19">
        <v>1</v>
      </c>
      <c r="O24" s="19">
        <v>1</v>
      </c>
      <c r="P24" s="19">
        <v>10</v>
      </c>
      <c r="Q24" s="19">
        <v>1</v>
      </c>
      <c r="R24" s="19">
        <v>1</v>
      </c>
      <c r="S24" s="10" t="str">
        <f>IF(B24="","",'Project Tracker'!N144)</f>
        <v>Not Started</v>
      </c>
      <c r="T24" s="17">
        <f>IF(B24="","",'Project Tracker'!O144)</f>
        <v>0</v>
      </c>
      <c r="U24" s="15">
        <f>IF(B24="","",'Project Tracker'!M144)</f>
        <v>46369</v>
      </c>
      <c r="V24" s="10" t="str">
        <f ca="1">IF(B24="","",'Project Tracker'!W144)</f>
        <v>Green</v>
      </c>
    </row>
    <row r="25" spans="1:22" ht="22" customHeight="1">
      <c r="A25" s="21" t="s">
        <v>125</v>
      </c>
      <c r="B25" s="24" t="s">
        <v>126</v>
      </c>
      <c r="C25" s="25"/>
      <c r="D25" s="25"/>
      <c r="E25" s="12"/>
      <c r="F25" s="6"/>
      <c r="G25" s="6"/>
      <c r="H25" s="6" t="s">
        <v>40</v>
      </c>
      <c r="I25" s="6" t="s">
        <v>116</v>
      </c>
      <c r="J25" s="14">
        <v>46329</v>
      </c>
      <c r="K25" s="14"/>
      <c r="L25" s="15">
        <f t="shared" si="0"/>
        <v>46329</v>
      </c>
      <c r="M25" s="19">
        <v>20</v>
      </c>
      <c r="N25" s="19">
        <v>1</v>
      </c>
      <c r="O25" s="19">
        <v>1</v>
      </c>
      <c r="P25" s="19">
        <v>10</v>
      </c>
      <c r="Q25" s="19">
        <v>1</v>
      </c>
      <c r="R25" s="19">
        <v>1</v>
      </c>
      <c r="S25" s="10" t="str">
        <f>IF(B25="","",'Project Tracker'!N151)</f>
        <v>Not Started</v>
      </c>
      <c r="T25" s="17">
        <f>IF(B25="","",'Project Tracker'!O151)</f>
        <v>0</v>
      </c>
      <c r="U25" s="15">
        <f>IF(B25="","",'Project Tracker'!M151)</f>
        <v>46376</v>
      </c>
      <c r="V25" s="10" t="str">
        <f ca="1">IF(B25="","",'Project Tracker'!W151)</f>
        <v>Green</v>
      </c>
    </row>
    <row r="26" spans="1:22" ht="22" customHeight="1">
      <c r="A26" s="21" t="s">
        <v>127</v>
      </c>
      <c r="B26" s="24" t="s">
        <v>128</v>
      </c>
      <c r="C26" s="25"/>
      <c r="D26" s="25"/>
      <c r="E26" s="12"/>
      <c r="F26" s="6"/>
      <c r="G26" s="6"/>
      <c r="H26" s="6" t="s">
        <v>36</v>
      </c>
      <c r="I26" s="6" t="s">
        <v>116</v>
      </c>
      <c r="J26" s="14">
        <v>46345</v>
      </c>
      <c r="K26" s="14"/>
      <c r="L26" s="15">
        <f t="shared" si="0"/>
        <v>46345</v>
      </c>
      <c r="M26" s="19">
        <v>20</v>
      </c>
      <c r="N26" s="19">
        <v>1</v>
      </c>
      <c r="O26" s="19">
        <v>1</v>
      </c>
      <c r="P26" s="19">
        <v>10</v>
      </c>
      <c r="Q26" s="19">
        <v>1</v>
      </c>
      <c r="R26" s="19">
        <v>1</v>
      </c>
      <c r="S26" s="10" t="str">
        <f>IF(B26="","",'Project Tracker'!N158)</f>
        <v>Not Started</v>
      </c>
      <c r="T26" s="17">
        <f>IF(B26="","",'Project Tracker'!O158)</f>
        <v>0</v>
      </c>
      <c r="U26" s="15">
        <f>IF(B26="","",'Project Tracker'!M158)</f>
        <v>46392</v>
      </c>
      <c r="V26" s="10" t="str">
        <f ca="1">IF(B26="","",'Project Tracker'!W158)</f>
        <v>Green</v>
      </c>
    </row>
    <row r="27" spans="1:22" ht="22" customHeight="1">
      <c r="A27" s="21" t="s">
        <v>129</v>
      </c>
      <c r="B27" s="24" t="s">
        <v>130</v>
      </c>
      <c r="C27" s="25"/>
      <c r="D27" s="25"/>
      <c r="E27" s="12"/>
      <c r="F27" s="6"/>
      <c r="G27" s="6"/>
      <c r="H27" s="6" t="s">
        <v>38</v>
      </c>
      <c r="I27" s="6" t="s">
        <v>116</v>
      </c>
      <c r="J27" s="14">
        <v>46345</v>
      </c>
      <c r="K27" s="14"/>
      <c r="L27" s="15">
        <f t="shared" si="0"/>
        <v>46345</v>
      </c>
      <c r="M27" s="19">
        <v>20</v>
      </c>
      <c r="N27" s="19">
        <v>1</v>
      </c>
      <c r="O27" s="19">
        <v>1</v>
      </c>
      <c r="P27" s="19">
        <v>10</v>
      </c>
      <c r="Q27" s="19">
        <v>1</v>
      </c>
      <c r="R27" s="19">
        <v>1</v>
      </c>
      <c r="S27" s="10" t="str">
        <f>IF(B27="","",'Project Tracker'!N165)</f>
        <v>Not Started</v>
      </c>
      <c r="T27" s="17">
        <f>IF(B27="","",'Project Tracker'!O165)</f>
        <v>0</v>
      </c>
      <c r="U27" s="15">
        <f>IF(B27="","",'Project Tracker'!M165)</f>
        <v>46392</v>
      </c>
      <c r="V27" s="10" t="str">
        <f ca="1">IF(B27="","",'Project Tracker'!W165)</f>
        <v>Green</v>
      </c>
    </row>
    <row r="28" spans="1:22" ht="22" customHeight="1">
      <c r="A28" s="21" t="s">
        <v>131</v>
      </c>
      <c r="B28" s="24" t="s">
        <v>132</v>
      </c>
      <c r="C28" s="25"/>
      <c r="D28" s="25"/>
      <c r="E28" s="12"/>
      <c r="F28" s="6"/>
      <c r="G28" s="6"/>
      <c r="H28" s="6" t="s">
        <v>42</v>
      </c>
      <c r="I28" s="6" t="s">
        <v>116</v>
      </c>
      <c r="J28" s="14">
        <v>46377</v>
      </c>
      <c r="K28" s="14"/>
      <c r="L28" s="15">
        <f t="shared" si="0"/>
        <v>46377</v>
      </c>
      <c r="M28" s="19">
        <v>20</v>
      </c>
      <c r="N28" s="19">
        <v>1</v>
      </c>
      <c r="O28" s="19">
        <v>1</v>
      </c>
      <c r="P28" s="19">
        <v>10</v>
      </c>
      <c r="Q28" s="19">
        <v>1</v>
      </c>
      <c r="R28" s="19">
        <v>1</v>
      </c>
      <c r="S28" s="10" t="str">
        <f>IF(B28="","",'Project Tracker'!N172)</f>
        <v>Not Started</v>
      </c>
      <c r="T28" s="17">
        <f>IF(B28="","",'Project Tracker'!O172)</f>
        <v>0</v>
      </c>
      <c r="U28" s="15">
        <f>IF(B28="","",'Project Tracker'!M172)</f>
        <v>46422</v>
      </c>
      <c r="V28" s="10" t="str">
        <f ca="1">IF(B28="","",'Project Tracker'!W172)</f>
        <v>Green</v>
      </c>
    </row>
    <row r="29" spans="1:22" ht="22" customHeight="1">
      <c r="A29" s="21" t="s">
        <v>133</v>
      </c>
      <c r="B29" s="24" t="s">
        <v>134</v>
      </c>
      <c r="C29" s="25"/>
      <c r="D29" s="25"/>
      <c r="E29" s="12"/>
      <c r="F29" s="6"/>
      <c r="G29" s="6"/>
      <c r="H29" s="6" t="s">
        <v>34</v>
      </c>
      <c r="I29" s="6" t="s">
        <v>116</v>
      </c>
      <c r="J29" s="14">
        <v>46377</v>
      </c>
      <c r="K29" s="14"/>
      <c r="L29" s="15">
        <f t="shared" si="0"/>
        <v>46377</v>
      </c>
      <c r="M29" s="19">
        <v>20</v>
      </c>
      <c r="N29" s="19">
        <v>1</v>
      </c>
      <c r="O29" s="19">
        <v>1</v>
      </c>
      <c r="P29" s="19">
        <v>10</v>
      </c>
      <c r="Q29" s="19">
        <v>1</v>
      </c>
      <c r="R29" s="19">
        <v>1</v>
      </c>
      <c r="S29" s="10" t="str">
        <f>IF(B29="","",'Project Tracker'!N179)</f>
        <v>Not Started</v>
      </c>
      <c r="T29" s="17">
        <f>IF(B29="","",'Project Tracker'!O179)</f>
        <v>0</v>
      </c>
      <c r="U29" s="15">
        <f>IF(B29="","",'Project Tracker'!M179)</f>
        <v>46422</v>
      </c>
      <c r="V29" s="10" t="str">
        <f ca="1">IF(B29="","",'Project Tracker'!W179)</f>
        <v>Green</v>
      </c>
    </row>
    <row r="30" spans="1:22" ht="22" customHeight="1">
      <c r="A30" s="21" t="s">
        <v>135</v>
      </c>
      <c r="B30" s="24" t="s">
        <v>136</v>
      </c>
      <c r="C30" s="25"/>
      <c r="D30" s="25"/>
      <c r="E30" s="12"/>
      <c r="F30" s="6"/>
      <c r="G30" s="6"/>
      <c r="H30" s="6" t="s">
        <v>40</v>
      </c>
      <c r="I30" s="6" t="s">
        <v>116</v>
      </c>
      <c r="J30" s="14">
        <v>46407</v>
      </c>
      <c r="K30" s="14"/>
      <c r="L30" s="15">
        <f t="shared" si="0"/>
        <v>46407</v>
      </c>
      <c r="M30" s="19">
        <v>20</v>
      </c>
      <c r="N30" s="19">
        <v>1</v>
      </c>
      <c r="O30" s="19">
        <v>1</v>
      </c>
      <c r="P30" s="19">
        <v>10</v>
      </c>
      <c r="Q30" s="19">
        <v>1</v>
      </c>
      <c r="R30" s="19">
        <v>1</v>
      </c>
      <c r="S30" s="10" t="str">
        <f>IF(B30="","",'Project Tracker'!N186)</f>
        <v>Not Started</v>
      </c>
      <c r="T30" s="17">
        <f>IF(B30="","",'Project Tracker'!O186)</f>
        <v>0</v>
      </c>
      <c r="U30" s="15">
        <f>IF(B30="","",'Project Tracker'!M186)</f>
        <v>46454</v>
      </c>
      <c r="V30" s="10" t="str">
        <f ca="1">IF(B30="","",'Project Tracker'!W186)</f>
        <v>Green</v>
      </c>
    </row>
    <row r="31" spans="1:22" ht="22" customHeight="1">
      <c r="A31" s="21" t="s">
        <v>137</v>
      </c>
      <c r="B31" s="24" t="s">
        <v>138</v>
      </c>
      <c r="C31" s="25"/>
      <c r="D31" s="25"/>
      <c r="E31" s="12"/>
      <c r="F31" s="6"/>
      <c r="G31" s="6"/>
      <c r="H31" s="6" t="s">
        <v>36</v>
      </c>
      <c r="I31" s="6" t="s">
        <v>116</v>
      </c>
      <c r="J31" s="14">
        <v>46407</v>
      </c>
      <c r="K31" s="14"/>
      <c r="L31" s="15">
        <f t="shared" si="0"/>
        <v>46407</v>
      </c>
      <c r="M31" s="19">
        <v>20</v>
      </c>
      <c r="N31" s="19">
        <v>1</v>
      </c>
      <c r="O31" s="19">
        <v>1</v>
      </c>
      <c r="P31" s="19">
        <v>10</v>
      </c>
      <c r="Q31" s="19">
        <v>1</v>
      </c>
      <c r="R31" s="19">
        <v>1</v>
      </c>
      <c r="S31" s="10" t="str">
        <f>IF(B31="","",'Project Tracker'!N193)</f>
        <v>Not Started</v>
      </c>
      <c r="T31" s="17">
        <f>IF(B31="","",'Project Tracker'!O193)</f>
        <v>0</v>
      </c>
      <c r="U31" s="15">
        <f>IF(B31="","",'Project Tracker'!M193)</f>
        <v>46454</v>
      </c>
      <c r="V31" s="10" t="str">
        <f ca="1">IF(B31="","",'Project Tracker'!W193)</f>
        <v>Green</v>
      </c>
    </row>
    <row r="32" spans="1:22" ht="22" customHeight="1">
      <c r="A32" s="21" t="s">
        <v>139</v>
      </c>
      <c r="B32" s="24" t="s">
        <v>140</v>
      </c>
      <c r="C32" s="25"/>
      <c r="D32" s="25"/>
      <c r="E32" s="12"/>
      <c r="F32" s="6"/>
      <c r="G32" s="6"/>
      <c r="H32" s="6" t="s">
        <v>38</v>
      </c>
      <c r="I32" s="6" t="s">
        <v>116</v>
      </c>
      <c r="J32" s="14">
        <v>46439</v>
      </c>
      <c r="K32" s="14"/>
      <c r="L32" s="15">
        <f t="shared" si="0"/>
        <v>46439</v>
      </c>
      <c r="M32" s="19">
        <v>20</v>
      </c>
      <c r="N32" s="19">
        <v>1</v>
      </c>
      <c r="O32" s="19">
        <v>1</v>
      </c>
      <c r="P32" s="19">
        <v>10</v>
      </c>
      <c r="Q32" s="19">
        <v>1</v>
      </c>
      <c r="R32" s="19">
        <v>1</v>
      </c>
      <c r="S32" s="10" t="str">
        <f>IF(B32="","",'Project Tracker'!N200)</f>
        <v>Not Started</v>
      </c>
      <c r="T32" s="17">
        <f>IF(B32="","",'Project Tracker'!O200)</f>
        <v>0</v>
      </c>
      <c r="U32" s="15">
        <f>IF(B32="","",'Project Tracker'!M200)</f>
        <v>46484</v>
      </c>
      <c r="V32" s="10" t="str">
        <f ca="1">IF(B32="","",'Project Tracker'!W200)</f>
        <v>Green</v>
      </c>
    </row>
    <row r="33" spans="1:22" ht="22" customHeight="1">
      <c r="A33" s="21" t="s">
        <v>141</v>
      </c>
      <c r="B33" s="24" t="s">
        <v>142</v>
      </c>
      <c r="C33" s="25"/>
      <c r="D33" s="25"/>
      <c r="E33" s="12"/>
      <c r="F33" s="6"/>
      <c r="G33" s="6"/>
      <c r="H33" s="6" t="s">
        <v>34</v>
      </c>
      <c r="I33" s="6" t="s">
        <v>116</v>
      </c>
      <c r="J33" s="14">
        <v>46439</v>
      </c>
      <c r="K33" s="14"/>
      <c r="L33" s="15">
        <f t="shared" si="0"/>
        <v>46439</v>
      </c>
      <c r="M33" s="19">
        <v>20</v>
      </c>
      <c r="N33" s="19">
        <v>1</v>
      </c>
      <c r="O33" s="19">
        <v>1</v>
      </c>
      <c r="P33" s="19">
        <v>10</v>
      </c>
      <c r="Q33" s="19">
        <v>1</v>
      </c>
      <c r="R33" s="19">
        <v>1</v>
      </c>
      <c r="S33" s="10" t="str">
        <f>IF(B33="","",'Project Tracker'!N207)</f>
        <v>Not Started</v>
      </c>
      <c r="T33" s="17">
        <f>IF(B33="","",'Project Tracker'!O207)</f>
        <v>0</v>
      </c>
      <c r="U33" s="15">
        <f>IF(B33="","",'Project Tracker'!M207)</f>
        <v>46484</v>
      </c>
      <c r="V33" s="10" t="str">
        <f ca="1">IF(B33="","",'Project Tracker'!W207)</f>
        <v>Green</v>
      </c>
    </row>
  </sheetData>
  <mergeCells count="2">
    <mergeCell ref="A1:V1"/>
    <mergeCell ref="A2:V2"/>
  </mergeCells>
  <conditionalFormatting sqref="S4:S33">
    <cfRule type="expression" dxfId="14" priority="1">
      <formula>S4="Completed"</formula>
    </cfRule>
    <cfRule type="expression" dxfId="13" priority="2">
      <formula>S4="In Progress"</formula>
    </cfRule>
    <cfRule type="expression" dxfId="12" priority="3">
      <formula>S4="On Hold"</formula>
    </cfRule>
  </conditionalFormatting>
  <conditionalFormatting sqref="V4:V33">
    <cfRule type="expression" dxfId="11" priority="4">
      <formula>V4="Green"</formula>
    </cfRule>
    <cfRule type="expression" dxfId="10" priority="5">
      <formula>V4="Amber"</formula>
    </cfRule>
    <cfRule type="expression" dxfId="9" priority="6">
      <formula>V4="Red"</formula>
    </cfRule>
  </conditionalFormatting>
  <dataValidations count="1">
    <dataValidation type="whole" sqref="M4:R33" xr:uid="{00000000-0002-0000-0100-000004000000}">
      <formula1>1</formula1>
      <formula2>365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100-000000000000}">
          <x14:formula1>
            <xm:f>Settings!$J$4:$J$6</xm:f>
          </x14:formula1>
          <xm:sqref>F4:F33</xm:sqref>
        </x14:dataValidation>
        <x14:dataValidation type="list" xr:uid="{00000000-0002-0000-0100-000001000000}">
          <x14:formula1>
            <xm:f>Settings!$L$4:$L$7</xm:f>
          </x14:formula1>
          <xm:sqref>G4:G33</xm:sqref>
        </x14:dataValidation>
        <x14:dataValidation type="list" xr:uid="{00000000-0002-0000-0100-000002000000}">
          <x14:formula1>
            <xm:f>Settings!$F$4:$F$8</xm:f>
          </x14:formula1>
          <xm:sqref>H4:H33</xm:sqref>
        </x14:dataValidation>
        <x14:dataValidation type="list" xr:uid="{00000000-0002-0000-0100-000003000000}">
          <x14:formula1>
            <xm:f>Settings!$H$4:$H$5</xm:f>
          </x14:formula1>
          <xm:sqref>I4:I33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13"/>
  <sheetViews>
    <sheetView showGridLines="0" topLeftCell="O1" workbookViewId="0">
      <selection activeCell="O22" sqref="O22"/>
    </sheetView>
  </sheetViews>
  <sheetFormatPr baseColWidth="10" defaultColWidth="61.83203125" defaultRowHeight="15"/>
  <cols>
    <col min="1" max="1" width="10.6640625" style="32" bestFit="1" customWidth="1"/>
    <col min="2" max="2" width="41.5" style="32" bestFit="1" customWidth="1"/>
    <col min="3" max="3" width="15.83203125" style="32" bestFit="1" customWidth="1"/>
    <col min="4" max="4" width="41" style="32" bestFit="1" customWidth="1"/>
    <col min="5" max="5" width="7.33203125" style="32" bestFit="1" customWidth="1"/>
    <col min="6" max="6" width="11.1640625" style="32" bestFit="1" customWidth="1"/>
    <col min="7" max="7" width="8.33203125" style="32" bestFit="1" customWidth="1"/>
    <col min="8" max="8" width="7.5" style="32" bestFit="1" customWidth="1"/>
    <col min="9" max="9" width="19.33203125" style="32" bestFit="1" customWidth="1"/>
    <col min="10" max="10" width="18" style="32" bestFit="1" customWidth="1"/>
    <col min="11" max="11" width="13.5" style="32" bestFit="1" customWidth="1"/>
    <col min="12" max="12" width="13.1640625" style="32" bestFit="1" customWidth="1"/>
    <col min="13" max="13" width="14.33203125" style="32" bestFit="1" customWidth="1"/>
    <col min="14" max="14" width="11.6640625" style="32" bestFit="1" customWidth="1"/>
    <col min="15" max="15" width="16.33203125" style="32" customWidth="1"/>
    <col min="16" max="16" width="55.33203125" style="32" bestFit="1" customWidth="1"/>
    <col min="17" max="17" width="41" style="32" bestFit="1" customWidth="1"/>
    <col min="18" max="18" width="58.5" style="48" customWidth="1"/>
    <col min="19" max="19" width="57.1640625" style="48" customWidth="1"/>
    <col min="20" max="20" width="11.33203125" style="32" bestFit="1" customWidth="1"/>
    <col min="21" max="21" width="12.5" style="32" bestFit="1" customWidth="1"/>
    <col min="22" max="22" width="13.83203125" style="32" bestFit="1" customWidth="1"/>
    <col min="23" max="23" width="6.5" style="32" bestFit="1" customWidth="1"/>
    <col min="24" max="24" width="8.1640625" style="32" bestFit="1" customWidth="1"/>
    <col min="25" max="25" width="19" style="32" bestFit="1" customWidth="1"/>
    <col min="26" max="26" width="13.1640625" style="32" bestFit="1" customWidth="1"/>
    <col min="27" max="27" width="13" style="32" bestFit="1" customWidth="1"/>
    <col min="28" max="28" width="15.83203125" style="32" bestFit="1" customWidth="1"/>
    <col min="29" max="16384" width="61.83203125" style="32"/>
  </cols>
  <sheetData>
    <row r="1" spans="1:28" ht="30" customHeight="1">
      <c r="A1" s="49" t="s">
        <v>215</v>
      </c>
      <c r="B1" s="49" t="s">
        <v>143</v>
      </c>
      <c r="C1" s="49" t="s">
        <v>143</v>
      </c>
      <c r="D1" s="49" t="s">
        <v>143</v>
      </c>
      <c r="E1" s="49" t="s">
        <v>143</v>
      </c>
      <c r="F1" s="49" t="s">
        <v>143</v>
      </c>
      <c r="G1" s="49" t="s">
        <v>143</v>
      </c>
      <c r="H1" s="49" t="s">
        <v>143</v>
      </c>
      <c r="I1" s="49" t="s">
        <v>143</v>
      </c>
      <c r="J1" s="49" t="s">
        <v>143</v>
      </c>
      <c r="K1" s="49" t="s">
        <v>143</v>
      </c>
      <c r="L1" s="49" t="s">
        <v>143</v>
      </c>
      <c r="M1" s="49" t="s">
        <v>143</v>
      </c>
      <c r="N1" s="49" t="s">
        <v>143</v>
      </c>
      <c r="O1" s="49" t="s">
        <v>143</v>
      </c>
      <c r="P1" s="49" t="s">
        <v>143</v>
      </c>
      <c r="Q1" s="49" t="s">
        <v>143</v>
      </c>
      <c r="R1" s="49" t="s">
        <v>143</v>
      </c>
      <c r="S1" s="49" t="s">
        <v>143</v>
      </c>
      <c r="T1" s="49" t="s">
        <v>143</v>
      </c>
      <c r="U1" s="49" t="s">
        <v>143</v>
      </c>
      <c r="V1" s="49" t="s">
        <v>143</v>
      </c>
      <c r="W1" s="49" t="s">
        <v>143</v>
      </c>
      <c r="X1" s="49" t="s">
        <v>143</v>
      </c>
      <c r="Y1" s="49" t="s">
        <v>143</v>
      </c>
      <c r="Z1" s="49" t="s">
        <v>143</v>
      </c>
      <c r="AA1" s="49" t="s">
        <v>143</v>
      </c>
      <c r="AB1" s="49" t="s">
        <v>143</v>
      </c>
    </row>
    <row r="2" spans="1:28">
      <c r="A2" s="69" t="s">
        <v>168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</row>
    <row r="3" spans="1:28" ht="34" customHeight="1">
      <c r="A3" s="34" t="s">
        <v>45</v>
      </c>
      <c r="B3" s="34" t="s">
        <v>144</v>
      </c>
      <c r="C3" s="34" t="s">
        <v>47</v>
      </c>
      <c r="D3" s="34" t="s">
        <v>48</v>
      </c>
      <c r="E3" s="34" t="s">
        <v>49</v>
      </c>
      <c r="F3" s="34" t="s">
        <v>50</v>
      </c>
      <c r="G3" s="34" t="s">
        <v>51</v>
      </c>
      <c r="H3" s="34" t="s">
        <v>30</v>
      </c>
      <c r="I3" s="34" t="s">
        <v>52</v>
      </c>
      <c r="J3" s="35" t="s">
        <v>11</v>
      </c>
      <c r="K3" s="35" t="s">
        <v>145</v>
      </c>
      <c r="L3" s="35" t="s">
        <v>146</v>
      </c>
      <c r="M3" s="35" t="s">
        <v>147</v>
      </c>
      <c r="N3" s="36" t="s">
        <v>62</v>
      </c>
      <c r="O3" s="36" t="s">
        <v>63</v>
      </c>
      <c r="P3" s="36" t="s">
        <v>148</v>
      </c>
      <c r="Q3" s="36" t="s">
        <v>149</v>
      </c>
      <c r="R3" s="45" t="s">
        <v>150</v>
      </c>
      <c r="S3" s="45" t="s">
        <v>151</v>
      </c>
      <c r="T3" s="36" t="s">
        <v>152</v>
      </c>
      <c r="U3" s="36" t="s">
        <v>153</v>
      </c>
      <c r="V3" s="36" t="s">
        <v>154</v>
      </c>
      <c r="W3" s="36" t="s">
        <v>15</v>
      </c>
      <c r="X3" s="37" t="s">
        <v>155</v>
      </c>
      <c r="Y3" s="37" t="s">
        <v>156</v>
      </c>
      <c r="Z3" s="37" t="s">
        <v>157</v>
      </c>
      <c r="AA3" s="37" t="s">
        <v>158</v>
      </c>
      <c r="AB3" s="37" t="s">
        <v>159</v>
      </c>
    </row>
    <row r="4" spans="1:28" ht="28" customHeight="1">
      <c r="A4" s="30" t="str">
        <f>Summary!A4</f>
        <v>RPA-001</v>
      </c>
      <c r="B4" s="30" t="str">
        <f>Summary!B4</f>
        <v>Vendor Payment Status Request</v>
      </c>
      <c r="C4" s="30" t="str">
        <f>Summary!C4</f>
        <v>Shared Services</v>
      </c>
      <c r="D4" s="30" t="str">
        <f>Summary!D4</f>
        <v>Hani A. Aljihani</v>
      </c>
      <c r="E4" s="38">
        <f>Summary!E4</f>
        <v>182000</v>
      </c>
      <c r="F4" s="30" t="str">
        <f>Summary!F4</f>
        <v>MEDIUM</v>
      </c>
      <c r="G4" s="30" t="str">
        <f>Summary!G4</f>
        <v>Medium</v>
      </c>
      <c r="H4" s="30" t="str">
        <f>Summary!H4</f>
        <v>S3</v>
      </c>
      <c r="I4" s="30" t="str">
        <f>Summary!I4</f>
        <v>Assessed</v>
      </c>
      <c r="J4" s="30" t="s">
        <v>161</v>
      </c>
      <c r="K4" s="30">
        <f>IF(B4="","",SUM(K5:K10))</f>
        <v>14</v>
      </c>
      <c r="L4" s="39">
        <f>IF(B4="","",L5)</f>
        <v>46236</v>
      </c>
      <c r="M4" s="39">
        <f>IF(B4="","",M10)</f>
        <v>46253</v>
      </c>
      <c r="N4" s="30" t="str">
        <f>IF(B4="","",IF(O4=100%,"Completed",IF(COUNTIF(N5:N10,"On Hold")&gt;0,"On Hold",IF(O4&gt;0%,"In Progress","Not Started"))))</f>
        <v>In Progress</v>
      </c>
      <c r="O4" s="44">
        <f>IF(B4="","",AVERAGE(O5:O10))</f>
        <v>0.58333333333333337</v>
      </c>
      <c r="P4" s="40" t="s">
        <v>68</v>
      </c>
      <c r="Q4" s="40" t="s">
        <v>68</v>
      </c>
      <c r="R4" s="46"/>
      <c r="S4" s="46"/>
      <c r="T4" s="40" t="str">
        <f>IF(COUNT(T5:T10)=0,"",MIN(T5:T10))</f>
        <v/>
      </c>
      <c r="U4" s="40" t="str">
        <f>IF(COUNT(U5:U10)=0,"",MAX(U5:U10))</f>
        <v/>
      </c>
      <c r="V4" s="40">
        <f t="shared" ref="V4:V67" ca="1" si="0">IF(B4="","",IF(N4="Cancelled","",IF(U4&lt;&gt;"",U4-M4,IF(AND(M4&lt;&gt;"",N4&lt;&gt;"Completed",TODAY()&gt;M4),TODAY()-M4,0))))</f>
        <v>0</v>
      </c>
      <c r="W4" s="40" t="str">
        <f t="shared" ref="W4:W67" ca="1" si="1">IF(B4="","",IF(N4="Cancelled","Gray",IF(N4="On Hold","Red",IF(N4="Completed","Green",IF(V4&gt;5,"Red",IF(V4&gt;0,"Amber","Green"))))))</f>
        <v>Green</v>
      </c>
      <c r="X4" s="40" t="s">
        <v>162</v>
      </c>
      <c r="Y4" s="40"/>
      <c r="Z4" s="40"/>
      <c r="AA4" s="40">
        <v>46236</v>
      </c>
      <c r="AB4" s="40" t="s">
        <v>169</v>
      </c>
    </row>
    <row r="5" spans="1:28" ht="28" customHeight="1">
      <c r="A5" s="31" t="str">
        <f>Summary!A4</f>
        <v>RPA-001</v>
      </c>
      <c r="B5" s="31" t="str">
        <f>Summary!B4</f>
        <v>Vendor Payment Status Request</v>
      </c>
      <c r="C5" s="31" t="str">
        <f>Summary!C4</f>
        <v>Shared Services</v>
      </c>
      <c r="D5" s="31" t="str">
        <f>Summary!D4</f>
        <v>Hani A. Aljihani</v>
      </c>
      <c r="E5" s="41">
        <f>Summary!E4</f>
        <v>182000</v>
      </c>
      <c r="F5" s="31" t="str">
        <f>Summary!F4</f>
        <v>MEDIUM</v>
      </c>
      <c r="G5" s="31" t="str">
        <f>Summary!G4</f>
        <v>Medium</v>
      </c>
      <c r="H5" s="31" t="str">
        <f>Summary!H4</f>
        <v>S3</v>
      </c>
      <c r="I5" s="31" t="str">
        <f>Summary!I4</f>
        <v>Assessed</v>
      </c>
      <c r="J5" s="42" t="s">
        <v>18</v>
      </c>
      <c r="K5" s="42">
        <f>IF(B5="","",Summary!M4)</f>
        <v>1</v>
      </c>
      <c r="L5" s="43">
        <f>IF(Summary!$L4="","",Summary!$L4)</f>
        <v>46236</v>
      </c>
      <c r="M5" s="43">
        <f t="shared" ref="M5:M10" si="2">IF(OR(L5="",K5=""),"",WORKDAY.INTL(L5-1,K5,7))</f>
        <v>46236</v>
      </c>
      <c r="N5" s="42" t="s">
        <v>12</v>
      </c>
      <c r="O5" s="44">
        <f t="shared" ref="O5:O10" si="3">IF(B5="","",IF(N5="Completed",100%,IF(OR(N5="In Progress",N5="On Hold"),50%,0%)))</f>
        <v>1</v>
      </c>
      <c r="P5" s="42" t="s">
        <v>170</v>
      </c>
      <c r="Q5" s="42" t="s">
        <v>171</v>
      </c>
      <c r="R5" s="47"/>
      <c r="S5" s="47"/>
      <c r="T5" s="43"/>
      <c r="U5" s="43"/>
      <c r="V5" s="42">
        <f t="shared" ca="1" si="0"/>
        <v>0</v>
      </c>
      <c r="W5" s="42" t="str">
        <f t="shared" si="1"/>
        <v>Green</v>
      </c>
      <c r="X5" s="42" t="s">
        <v>162</v>
      </c>
      <c r="Y5" s="42"/>
      <c r="Z5" s="42"/>
      <c r="AA5" s="43">
        <v>46236</v>
      </c>
      <c r="AB5" s="42" t="s">
        <v>169</v>
      </c>
    </row>
    <row r="6" spans="1:28" ht="28" customHeight="1">
      <c r="A6" s="31" t="str">
        <f>Summary!A4</f>
        <v>RPA-001</v>
      </c>
      <c r="B6" s="31" t="str">
        <f>Summary!B4</f>
        <v>Vendor Payment Status Request</v>
      </c>
      <c r="C6" s="31" t="str">
        <f>Summary!C4</f>
        <v>Shared Services</v>
      </c>
      <c r="D6" s="31" t="str">
        <f>Summary!D4</f>
        <v>Hani A. Aljihani</v>
      </c>
      <c r="E6" s="41">
        <f>Summary!E4</f>
        <v>182000</v>
      </c>
      <c r="F6" s="31" t="str">
        <f>Summary!F4</f>
        <v>MEDIUM</v>
      </c>
      <c r="G6" s="31" t="str">
        <f>Summary!G4</f>
        <v>Medium</v>
      </c>
      <c r="H6" s="31" t="str">
        <f>Summary!H4</f>
        <v>S3</v>
      </c>
      <c r="I6" s="31" t="str">
        <f>Summary!I4</f>
        <v>Assessed</v>
      </c>
      <c r="J6" s="42" t="s">
        <v>20</v>
      </c>
      <c r="K6" s="42">
        <f>IF(B6="","",Summary!N4)</f>
        <v>1</v>
      </c>
      <c r="L6" s="43">
        <f>IF(M5="","",WORKDAY.INTL(M5,1,7))</f>
        <v>46237</v>
      </c>
      <c r="M6" s="43">
        <f t="shared" si="2"/>
        <v>46237</v>
      </c>
      <c r="N6" s="42" t="s">
        <v>12</v>
      </c>
      <c r="O6" s="44">
        <f t="shared" si="3"/>
        <v>1</v>
      </c>
      <c r="P6" s="42" t="s">
        <v>170</v>
      </c>
      <c r="Q6" s="42" t="s">
        <v>171</v>
      </c>
      <c r="R6" s="47"/>
      <c r="S6" s="47"/>
      <c r="T6" s="43"/>
      <c r="U6" s="43"/>
      <c r="V6" s="42">
        <f t="shared" ca="1" si="0"/>
        <v>0</v>
      </c>
      <c r="W6" s="42" t="str">
        <f t="shared" si="1"/>
        <v>Green</v>
      </c>
      <c r="X6" s="42" t="s">
        <v>162</v>
      </c>
      <c r="Y6" s="42"/>
      <c r="Z6" s="42"/>
      <c r="AA6" s="43">
        <v>46236</v>
      </c>
      <c r="AB6" s="42" t="s">
        <v>169</v>
      </c>
    </row>
    <row r="7" spans="1:28" ht="28" customHeight="1">
      <c r="A7" s="31" t="str">
        <f>Summary!A4</f>
        <v>RPA-001</v>
      </c>
      <c r="B7" s="31" t="str">
        <f>Summary!B4</f>
        <v>Vendor Payment Status Request</v>
      </c>
      <c r="C7" s="31" t="str">
        <f>Summary!C4</f>
        <v>Shared Services</v>
      </c>
      <c r="D7" s="31" t="str">
        <f>Summary!D4</f>
        <v>Hani A. Aljihani</v>
      </c>
      <c r="E7" s="41">
        <f>Summary!E4</f>
        <v>182000</v>
      </c>
      <c r="F7" s="31" t="str">
        <f>Summary!F4</f>
        <v>MEDIUM</v>
      </c>
      <c r="G7" s="31" t="str">
        <f>Summary!G4</f>
        <v>Medium</v>
      </c>
      <c r="H7" s="31" t="str">
        <f>Summary!H4</f>
        <v>S3</v>
      </c>
      <c r="I7" s="31" t="str">
        <f>Summary!I4</f>
        <v>Assessed</v>
      </c>
      <c r="J7" s="42" t="s">
        <v>22</v>
      </c>
      <c r="K7" s="42">
        <f>IF(B7="","",Summary!O4)</f>
        <v>1</v>
      </c>
      <c r="L7" s="43">
        <f>IF(M6="","",WORKDAY.INTL(M6,1,7))</f>
        <v>46238</v>
      </c>
      <c r="M7" s="43">
        <f t="shared" si="2"/>
        <v>46238</v>
      </c>
      <c r="N7" s="42" t="s">
        <v>12</v>
      </c>
      <c r="O7" s="44">
        <f t="shared" si="3"/>
        <v>1</v>
      </c>
      <c r="P7" s="42" t="s">
        <v>68</v>
      </c>
      <c r="Q7" s="42" t="s">
        <v>172</v>
      </c>
      <c r="R7" s="47"/>
      <c r="S7" s="47"/>
      <c r="T7" s="43"/>
      <c r="U7" s="43"/>
      <c r="V7" s="42">
        <f t="shared" ca="1" si="0"/>
        <v>0</v>
      </c>
      <c r="W7" s="42" t="str">
        <f t="shared" si="1"/>
        <v>Green</v>
      </c>
      <c r="X7" s="42" t="s">
        <v>162</v>
      </c>
      <c r="Y7" s="42"/>
      <c r="Z7" s="42"/>
      <c r="AA7" s="43">
        <v>46236</v>
      </c>
      <c r="AB7" s="42" t="s">
        <v>169</v>
      </c>
    </row>
    <row r="8" spans="1:28" ht="28" customHeight="1">
      <c r="A8" s="31" t="str">
        <f>Summary!A4</f>
        <v>RPA-001</v>
      </c>
      <c r="B8" s="31" t="str">
        <f>Summary!B4</f>
        <v>Vendor Payment Status Request</v>
      </c>
      <c r="C8" s="31" t="str">
        <f>Summary!C4</f>
        <v>Shared Services</v>
      </c>
      <c r="D8" s="31" t="str">
        <f>Summary!D4</f>
        <v>Hani A. Aljihani</v>
      </c>
      <c r="E8" s="41">
        <f>Summary!E4</f>
        <v>182000</v>
      </c>
      <c r="F8" s="31" t="str">
        <f>Summary!F4</f>
        <v>MEDIUM</v>
      </c>
      <c r="G8" s="31" t="str">
        <f>Summary!G4</f>
        <v>Medium</v>
      </c>
      <c r="H8" s="31" t="str">
        <f>Summary!H4</f>
        <v>S3</v>
      </c>
      <c r="I8" s="31" t="str">
        <f>Summary!I4</f>
        <v>Assessed</v>
      </c>
      <c r="J8" s="42" t="s">
        <v>24</v>
      </c>
      <c r="K8" s="42">
        <f>IF(B8="","",Summary!P4)</f>
        <v>9</v>
      </c>
      <c r="L8" s="43">
        <f>IF(M7="","",WORKDAY.INTL(M7,1,7))</f>
        <v>46239</v>
      </c>
      <c r="M8" s="43">
        <f t="shared" si="2"/>
        <v>46251</v>
      </c>
      <c r="N8" s="42" t="s">
        <v>173</v>
      </c>
      <c r="O8" s="44">
        <f t="shared" si="3"/>
        <v>0.5</v>
      </c>
      <c r="P8" s="42" t="s">
        <v>174</v>
      </c>
      <c r="Q8" s="42" t="s">
        <v>175</v>
      </c>
      <c r="R8" s="47" t="s">
        <v>176</v>
      </c>
      <c r="S8" s="47" t="s">
        <v>177</v>
      </c>
      <c r="T8" s="43"/>
      <c r="U8" s="43"/>
      <c r="V8" s="42">
        <f t="shared" ca="1" si="0"/>
        <v>0</v>
      </c>
      <c r="W8" s="42" t="str">
        <f t="shared" ca="1" si="1"/>
        <v>Green</v>
      </c>
      <c r="X8" s="42" t="s">
        <v>208</v>
      </c>
      <c r="Y8" s="42"/>
      <c r="Z8" s="42"/>
      <c r="AA8" s="43">
        <v>46236</v>
      </c>
      <c r="AB8" s="42" t="s">
        <v>169</v>
      </c>
    </row>
    <row r="9" spans="1:28" ht="28" customHeight="1">
      <c r="A9" s="31" t="str">
        <f>Summary!A4</f>
        <v>RPA-001</v>
      </c>
      <c r="B9" s="31" t="str">
        <f>Summary!B4</f>
        <v>Vendor Payment Status Request</v>
      </c>
      <c r="C9" s="31" t="str">
        <f>Summary!C4</f>
        <v>Shared Services</v>
      </c>
      <c r="D9" s="31" t="str">
        <f>Summary!D4</f>
        <v>Hani A. Aljihani</v>
      </c>
      <c r="E9" s="41">
        <f>Summary!E4</f>
        <v>182000</v>
      </c>
      <c r="F9" s="31" t="str">
        <f>Summary!F4</f>
        <v>MEDIUM</v>
      </c>
      <c r="G9" s="31" t="str">
        <f>Summary!G4</f>
        <v>Medium</v>
      </c>
      <c r="H9" s="31" t="str">
        <f>Summary!H4</f>
        <v>S3</v>
      </c>
      <c r="I9" s="31" t="str">
        <f>Summary!I4</f>
        <v>Assessed</v>
      </c>
      <c r="J9" s="42" t="s">
        <v>26</v>
      </c>
      <c r="K9" s="42">
        <f>IF(B9="","",Summary!Q4)</f>
        <v>1</v>
      </c>
      <c r="L9" s="43">
        <f>IF(M8="","",WORKDAY.INTL(M8,1,7))</f>
        <v>46252</v>
      </c>
      <c r="M9" s="43">
        <f t="shared" si="2"/>
        <v>46252</v>
      </c>
      <c r="N9" s="42" t="s">
        <v>178</v>
      </c>
      <c r="O9" s="44">
        <f t="shared" si="3"/>
        <v>0</v>
      </c>
      <c r="P9" s="42" t="s">
        <v>179</v>
      </c>
      <c r="Q9" s="42" t="s">
        <v>180</v>
      </c>
      <c r="R9" s="47"/>
      <c r="S9" s="47"/>
      <c r="T9" s="43"/>
      <c r="U9" s="43"/>
      <c r="V9" s="42">
        <f t="shared" ca="1" si="0"/>
        <v>0</v>
      </c>
      <c r="W9" s="42" t="str">
        <f t="shared" ca="1" si="1"/>
        <v>Green</v>
      </c>
      <c r="X9" s="42" t="s">
        <v>162</v>
      </c>
      <c r="Y9" s="42"/>
      <c r="Z9" s="42"/>
      <c r="AA9" s="43">
        <v>46236</v>
      </c>
      <c r="AB9" s="42" t="s">
        <v>169</v>
      </c>
    </row>
    <row r="10" spans="1:28" ht="28" customHeight="1">
      <c r="A10" s="31" t="str">
        <f>Summary!A4</f>
        <v>RPA-001</v>
      </c>
      <c r="B10" s="31" t="str">
        <f>Summary!B4</f>
        <v>Vendor Payment Status Request</v>
      </c>
      <c r="C10" s="31" t="str">
        <f>Summary!C4</f>
        <v>Shared Services</v>
      </c>
      <c r="D10" s="31" t="str">
        <f>Summary!D4</f>
        <v>Hani A. Aljihani</v>
      </c>
      <c r="E10" s="41">
        <f>Summary!E4</f>
        <v>182000</v>
      </c>
      <c r="F10" s="31" t="str">
        <f>Summary!F4</f>
        <v>MEDIUM</v>
      </c>
      <c r="G10" s="31" t="str">
        <f>Summary!G4</f>
        <v>Medium</v>
      </c>
      <c r="H10" s="31" t="str">
        <f>Summary!H4</f>
        <v>S3</v>
      </c>
      <c r="I10" s="31" t="str">
        <f>Summary!I4</f>
        <v>Assessed</v>
      </c>
      <c r="J10" s="42" t="s">
        <v>27</v>
      </c>
      <c r="K10" s="42">
        <f>IF(B10="","",Summary!R4)</f>
        <v>1</v>
      </c>
      <c r="L10" s="43">
        <f>IF(M9="","",WORKDAY.INTL(M9,1,7))</f>
        <v>46253</v>
      </c>
      <c r="M10" s="43">
        <f t="shared" si="2"/>
        <v>46253</v>
      </c>
      <c r="N10" s="42" t="s">
        <v>178</v>
      </c>
      <c r="O10" s="44">
        <f t="shared" si="3"/>
        <v>0</v>
      </c>
      <c r="P10" s="42" t="s">
        <v>174</v>
      </c>
      <c r="Q10" s="42" t="s">
        <v>175</v>
      </c>
      <c r="R10" s="47"/>
      <c r="S10" s="47"/>
      <c r="T10" s="43"/>
      <c r="U10" s="43"/>
      <c r="V10" s="42">
        <f t="shared" ca="1" si="0"/>
        <v>0</v>
      </c>
      <c r="W10" s="42" t="str">
        <f t="shared" ca="1" si="1"/>
        <v>Green</v>
      </c>
      <c r="X10" s="42" t="s">
        <v>162</v>
      </c>
      <c r="Y10" s="42"/>
      <c r="Z10" s="42"/>
      <c r="AA10" s="43">
        <v>46236</v>
      </c>
      <c r="AB10" s="42" t="s">
        <v>169</v>
      </c>
    </row>
    <row r="11" spans="1:28" ht="28" customHeight="1">
      <c r="A11" s="30" t="str">
        <f>Summary!A5</f>
        <v>RPA-002</v>
      </c>
      <c r="B11" s="30" t="str">
        <f>Summary!B5</f>
        <v>Fixed Asset Month end closing</v>
      </c>
      <c r="C11" s="30" t="str">
        <f>Summary!C5</f>
        <v>Finance</v>
      </c>
      <c r="D11" s="30" t="str">
        <f>Summary!D5</f>
        <v>Fatimah Alqurashi</v>
      </c>
      <c r="E11" s="38">
        <f>Summary!E5</f>
        <v>21840</v>
      </c>
      <c r="F11" s="30" t="str">
        <f>Summary!F5</f>
        <v>MEDIUM</v>
      </c>
      <c r="G11" s="30" t="str">
        <f>Summary!G5</f>
        <v>Medium</v>
      </c>
      <c r="H11" s="30" t="str">
        <f>Summary!H5</f>
        <v>S1</v>
      </c>
      <c r="I11" s="30" t="str">
        <f>Summary!I5</f>
        <v>Assessed</v>
      </c>
      <c r="J11" s="30" t="s">
        <v>161</v>
      </c>
      <c r="K11" s="30">
        <f>IF(B11="","",SUM(K12:K17))</f>
        <v>14</v>
      </c>
      <c r="L11" s="39">
        <f>IF(B11="","",L12)</f>
        <v>46236</v>
      </c>
      <c r="M11" s="39">
        <f>IF(B11="","",M17)</f>
        <v>46253</v>
      </c>
      <c r="N11" s="30" t="str">
        <f>IF(B11="","",IF(O11=100%,"Completed",IF(COUNTIF(N12:N17,"On Hold")&gt;0,"On Hold",IF(O11&gt;0%,"In Progress","Not Started"))))</f>
        <v>In Progress</v>
      </c>
      <c r="O11" s="44">
        <f>IF(B11="","",AVERAGE(O12:O17))</f>
        <v>0.58333333333333337</v>
      </c>
      <c r="P11" s="40" t="s">
        <v>75</v>
      </c>
      <c r="Q11" s="40" t="s">
        <v>75</v>
      </c>
      <c r="R11" s="46"/>
      <c r="S11" s="46"/>
      <c r="T11" s="40" t="str">
        <f>IF(COUNT(T12:T17)=0,"",MIN(T12:T17))</f>
        <v/>
      </c>
      <c r="U11" s="40" t="str">
        <f>IF(COUNT(U12:U17)=0,"",MAX(U12:U17))</f>
        <v/>
      </c>
      <c r="V11" s="40">
        <f t="shared" ca="1" si="0"/>
        <v>0</v>
      </c>
      <c r="W11" s="40" t="str">
        <f t="shared" ca="1" si="1"/>
        <v>Green</v>
      </c>
      <c r="X11" s="40" t="s">
        <v>162</v>
      </c>
      <c r="Y11" s="40"/>
      <c r="Z11" s="40"/>
      <c r="AA11" s="40">
        <v>46236</v>
      </c>
      <c r="AB11" s="40" t="s">
        <v>169</v>
      </c>
    </row>
    <row r="12" spans="1:28" ht="28" customHeight="1">
      <c r="A12" s="31" t="str">
        <f>Summary!A5</f>
        <v>RPA-002</v>
      </c>
      <c r="B12" s="31" t="str">
        <f>Summary!B5</f>
        <v>Fixed Asset Month end closing</v>
      </c>
      <c r="C12" s="31" t="str">
        <f>Summary!C5</f>
        <v>Finance</v>
      </c>
      <c r="D12" s="31" t="str">
        <f>Summary!D5</f>
        <v>Fatimah Alqurashi</v>
      </c>
      <c r="E12" s="41">
        <f>Summary!E5</f>
        <v>21840</v>
      </c>
      <c r="F12" s="31" t="str">
        <f>Summary!F5</f>
        <v>MEDIUM</v>
      </c>
      <c r="G12" s="31" t="str">
        <f>Summary!G5</f>
        <v>Medium</v>
      </c>
      <c r="H12" s="31" t="str">
        <f>Summary!H5</f>
        <v>S1</v>
      </c>
      <c r="I12" s="31" t="str">
        <f>Summary!I5</f>
        <v>Assessed</v>
      </c>
      <c r="J12" s="42" t="s">
        <v>18</v>
      </c>
      <c r="K12" s="42">
        <f>IF(B12="","",Summary!M5)</f>
        <v>1</v>
      </c>
      <c r="L12" s="43">
        <f>IF(Summary!$L5="","",Summary!$L5)</f>
        <v>46236</v>
      </c>
      <c r="M12" s="43">
        <f t="shared" ref="M12:M17" si="4">IF(OR(L12="",K12=""),"",WORKDAY.INTL(L12-1,K12,7))</f>
        <v>46236</v>
      </c>
      <c r="N12" s="42" t="s">
        <v>12</v>
      </c>
      <c r="O12" s="44">
        <f t="shared" ref="O12:O17" si="5">IF(B12="","",IF(N12="Completed",100%,IF(OR(N12="In Progress",N12="On Hold"),50%,0%)))</f>
        <v>1</v>
      </c>
      <c r="P12" s="42" t="s">
        <v>170</v>
      </c>
      <c r="Q12" s="42" t="s">
        <v>171</v>
      </c>
      <c r="R12" s="47"/>
      <c r="S12" s="47"/>
      <c r="T12" s="43"/>
      <c r="U12" s="43"/>
      <c r="V12" s="42">
        <f t="shared" ca="1" si="0"/>
        <v>0</v>
      </c>
      <c r="W12" s="42" t="str">
        <f t="shared" si="1"/>
        <v>Green</v>
      </c>
      <c r="X12" s="42" t="s">
        <v>162</v>
      </c>
      <c r="Y12" s="42"/>
      <c r="Z12" s="42"/>
      <c r="AA12" s="43">
        <v>46236</v>
      </c>
      <c r="AB12" s="42" t="s">
        <v>169</v>
      </c>
    </row>
    <row r="13" spans="1:28" ht="28" customHeight="1">
      <c r="A13" s="31" t="str">
        <f>Summary!A5</f>
        <v>RPA-002</v>
      </c>
      <c r="B13" s="31" t="str">
        <f>Summary!B5</f>
        <v>Fixed Asset Month end closing</v>
      </c>
      <c r="C13" s="31" t="str">
        <f>Summary!C5</f>
        <v>Finance</v>
      </c>
      <c r="D13" s="31" t="str">
        <f>Summary!D5</f>
        <v>Fatimah Alqurashi</v>
      </c>
      <c r="E13" s="41">
        <f>Summary!E5</f>
        <v>21840</v>
      </c>
      <c r="F13" s="31" t="str">
        <f>Summary!F5</f>
        <v>MEDIUM</v>
      </c>
      <c r="G13" s="31" t="str">
        <f>Summary!G5</f>
        <v>Medium</v>
      </c>
      <c r="H13" s="31" t="str">
        <f>Summary!H5</f>
        <v>S1</v>
      </c>
      <c r="I13" s="31" t="str">
        <f>Summary!I5</f>
        <v>Assessed</v>
      </c>
      <c r="J13" s="42" t="s">
        <v>20</v>
      </c>
      <c r="K13" s="42">
        <f>IF(B13="","",Summary!N5)</f>
        <v>1</v>
      </c>
      <c r="L13" s="43">
        <f>IF(M12="","",WORKDAY.INTL(M12,1,7))</f>
        <v>46237</v>
      </c>
      <c r="M13" s="43">
        <f t="shared" si="4"/>
        <v>46237</v>
      </c>
      <c r="N13" s="42" t="s">
        <v>12</v>
      </c>
      <c r="O13" s="44">
        <f t="shared" si="5"/>
        <v>1</v>
      </c>
      <c r="P13" s="42" t="s">
        <v>170</v>
      </c>
      <c r="Q13" s="42" t="s">
        <v>171</v>
      </c>
      <c r="R13" s="47"/>
      <c r="S13" s="47"/>
      <c r="T13" s="43"/>
      <c r="U13" s="43"/>
      <c r="V13" s="42">
        <f t="shared" ca="1" si="0"/>
        <v>0</v>
      </c>
      <c r="W13" s="42" t="str">
        <f t="shared" si="1"/>
        <v>Green</v>
      </c>
      <c r="X13" s="42" t="s">
        <v>162</v>
      </c>
      <c r="Y13" s="42"/>
      <c r="Z13" s="42"/>
      <c r="AA13" s="43">
        <v>46236</v>
      </c>
      <c r="AB13" s="42" t="s">
        <v>169</v>
      </c>
    </row>
    <row r="14" spans="1:28" ht="28" customHeight="1">
      <c r="A14" s="31" t="str">
        <f>Summary!A5</f>
        <v>RPA-002</v>
      </c>
      <c r="B14" s="31" t="str">
        <f>Summary!B5</f>
        <v>Fixed Asset Month end closing</v>
      </c>
      <c r="C14" s="31" t="str">
        <f>Summary!C5</f>
        <v>Finance</v>
      </c>
      <c r="D14" s="31" t="str">
        <f>Summary!D5</f>
        <v>Fatimah Alqurashi</v>
      </c>
      <c r="E14" s="41">
        <f>Summary!E5</f>
        <v>21840</v>
      </c>
      <c r="F14" s="31" t="str">
        <f>Summary!F5</f>
        <v>MEDIUM</v>
      </c>
      <c r="G14" s="31" t="str">
        <f>Summary!G5</f>
        <v>Medium</v>
      </c>
      <c r="H14" s="31" t="str">
        <f>Summary!H5</f>
        <v>S1</v>
      </c>
      <c r="I14" s="31" t="str">
        <f>Summary!I5</f>
        <v>Assessed</v>
      </c>
      <c r="J14" s="42" t="s">
        <v>22</v>
      </c>
      <c r="K14" s="42">
        <f>IF(B14="","",Summary!O5)</f>
        <v>1</v>
      </c>
      <c r="L14" s="43">
        <f>IF(M13="","",WORKDAY.INTL(M13,1,7))</f>
        <v>46238</v>
      </c>
      <c r="M14" s="43">
        <f t="shared" si="4"/>
        <v>46238</v>
      </c>
      <c r="N14" s="42" t="s">
        <v>12</v>
      </c>
      <c r="O14" s="44">
        <f t="shared" si="5"/>
        <v>1</v>
      </c>
      <c r="P14" s="42" t="s">
        <v>181</v>
      </c>
      <c r="Q14" s="42" t="s">
        <v>172</v>
      </c>
      <c r="R14" s="47" t="s">
        <v>182</v>
      </c>
      <c r="S14" s="47"/>
      <c r="T14" s="43"/>
      <c r="U14" s="43"/>
      <c r="V14" s="42">
        <f t="shared" ca="1" si="0"/>
        <v>0</v>
      </c>
      <c r="W14" s="42" t="str">
        <f t="shared" si="1"/>
        <v>Green</v>
      </c>
      <c r="X14" s="42" t="s">
        <v>208</v>
      </c>
      <c r="Y14" s="42"/>
      <c r="Z14" s="42"/>
      <c r="AA14" s="43">
        <v>46236</v>
      </c>
      <c r="AB14" s="42" t="s">
        <v>169</v>
      </c>
    </row>
    <row r="15" spans="1:28" ht="28" customHeight="1">
      <c r="A15" s="31" t="str">
        <f>Summary!A5</f>
        <v>RPA-002</v>
      </c>
      <c r="B15" s="31" t="str">
        <f>Summary!B5</f>
        <v>Fixed Asset Month end closing</v>
      </c>
      <c r="C15" s="31" t="str">
        <f>Summary!C5</f>
        <v>Finance</v>
      </c>
      <c r="D15" s="31" t="str">
        <f>Summary!D5</f>
        <v>Fatimah Alqurashi</v>
      </c>
      <c r="E15" s="41">
        <f>Summary!E5</f>
        <v>21840</v>
      </c>
      <c r="F15" s="31" t="str">
        <f>Summary!F5</f>
        <v>MEDIUM</v>
      </c>
      <c r="G15" s="31" t="str">
        <f>Summary!G5</f>
        <v>Medium</v>
      </c>
      <c r="H15" s="31" t="str">
        <f>Summary!H5</f>
        <v>S1</v>
      </c>
      <c r="I15" s="31" t="str">
        <f>Summary!I5</f>
        <v>Assessed</v>
      </c>
      <c r="J15" s="42" t="s">
        <v>24</v>
      </c>
      <c r="K15" s="42">
        <f>IF(B15="","",Summary!P5)</f>
        <v>9</v>
      </c>
      <c r="L15" s="43">
        <f>IF(M14="","",WORKDAY.INTL(M14,1,7))</f>
        <v>46239</v>
      </c>
      <c r="M15" s="43">
        <f t="shared" si="4"/>
        <v>46251</v>
      </c>
      <c r="N15" s="42" t="s">
        <v>173</v>
      </c>
      <c r="O15" s="44">
        <f t="shared" si="5"/>
        <v>0.5</v>
      </c>
      <c r="P15" s="42" t="s">
        <v>183</v>
      </c>
      <c r="Q15" s="42" t="s">
        <v>175</v>
      </c>
      <c r="R15" s="47"/>
      <c r="S15" s="47"/>
      <c r="T15" s="43"/>
      <c r="U15" s="43"/>
      <c r="V15" s="42">
        <f t="shared" ca="1" si="0"/>
        <v>0</v>
      </c>
      <c r="W15" s="42" t="str">
        <f t="shared" ca="1" si="1"/>
        <v>Green</v>
      </c>
      <c r="X15" s="42" t="s">
        <v>162</v>
      </c>
      <c r="Y15" s="42"/>
      <c r="Z15" s="42"/>
      <c r="AA15" s="43">
        <v>46236</v>
      </c>
      <c r="AB15" s="42" t="s">
        <v>169</v>
      </c>
    </row>
    <row r="16" spans="1:28" ht="28" customHeight="1">
      <c r="A16" s="31" t="str">
        <f>Summary!A5</f>
        <v>RPA-002</v>
      </c>
      <c r="B16" s="31" t="str">
        <f>Summary!B5</f>
        <v>Fixed Asset Month end closing</v>
      </c>
      <c r="C16" s="31" t="str">
        <f>Summary!C5</f>
        <v>Finance</v>
      </c>
      <c r="D16" s="31" t="str">
        <f>Summary!D5</f>
        <v>Fatimah Alqurashi</v>
      </c>
      <c r="E16" s="41">
        <f>Summary!E5</f>
        <v>21840</v>
      </c>
      <c r="F16" s="31" t="str">
        <f>Summary!F5</f>
        <v>MEDIUM</v>
      </c>
      <c r="G16" s="31" t="str">
        <f>Summary!G5</f>
        <v>Medium</v>
      </c>
      <c r="H16" s="31" t="str">
        <f>Summary!H5</f>
        <v>S1</v>
      </c>
      <c r="I16" s="31" t="str">
        <f>Summary!I5</f>
        <v>Assessed</v>
      </c>
      <c r="J16" s="42" t="s">
        <v>26</v>
      </c>
      <c r="K16" s="42">
        <f>IF(B16="","",Summary!Q5)</f>
        <v>1</v>
      </c>
      <c r="L16" s="43">
        <f>IF(M15="","",WORKDAY.INTL(M15,1,7))</f>
        <v>46252</v>
      </c>
      <c r="M16" s="43">
        <f t="shared" si="4"/>
        <v>46252</v>
      </c>
      <c r="N16" s="42" t="s">
        <v>178</v>
      </c>
      <c r="O16" s="44">
        <f t="shared" si="5"/>
        <v>0</v>
      </c>
      <c r="P16" s="42" t="s">
        <v>184</v>
      </c>
      <c r="Q16" s="42" t="s">
        <v>180</v>
      </c>
      <c r="R16" s="47"/>
      <c r="S16" s="47"/>
      <c r="T16" s="43"/>
      <c r="U16" s="43"/>
      <c r="V16" s="42">
        <f t="shared" ca="1" si="0"/>
        <v>0</v>
      </c>
      <c r="W16" s="42" t="str">
        <f t="shared" ca="1" si="1"/>
        <v>Green</v>
      </c>
      <c r="X16" s="42" t="s">
        <v>162</v>
      </c>
      <c r="Y16" s="42"/>
      <c r="Z16" s="42"/>
      <c r="AA16" s="43">
        <v>46236</v>
      </c>
      <c r="AB16" s="42" t="s">
        <v>169</v>
      </c>
    </row>
    <row r="17" spans="1:28" ht="28" customHeight="1">
      <c r="A17" s="31" t="str">
        <f>Summary!A5</f>
        <v>RPA-002</v>
      </c>
      <c r="B17" s="31" t="str">
        <f>Summary!B5</f>
        <v>Fixed Asset Month end closing</v>
      </c>
      <c r="C17" s="31" t="str">
        <f>Summary!C5</f>
        <v>Finance</v>
      </c>
      <c r="D17" s="31" t="str">
        <f>Summary!D5</f>
        <v>Fatimah Alqurashi</v>
      </c>
      <c r="E17" s="41">
        <f>Summary!E5</f>
        <v>21840</v>
      </c>
      <c r="F17" s="31" t="str">
        <f>Summary!F5</f>
        <v>MEDIUM</v>
      </c>
      <c r="G17" s="31" t="str">
        <f>Summary!G5</f>
        <v>Medium</v>
      </c>
      <c r="H17" s="31" t="str">
        <f>Summary!H5</f>
        <v>S1</v>
      </c>
      <c r="I17" s="31" t="str">
        <f>Summary!I5</f>
        <v>Assessed</v>
      </c>
      <c r="J17" s="42" t="s">
        <v>27</v>
      </c>
      <c r="K17" s="42">
        <f>IF(B17="","",Summary!R5)</f>
        <v>1</v>
      </c>
      <c r="L17" s="43">
        <f>IF(M16="","",WORKDAY.INTL(M16,1,7))</f>
        <v>46253</v>
      </c>
      <c r="M17" s="43">
        <f t="shared" si="4"/>
        <v>46253</v>
      </c>
      <c r="N17" s="42" t="s">
        <v>178</v>
      </c>
      <c r="O17" s="44">
        <f t="shared" si="5"/>
        <v>0</v>
      </c>
      <c r="P17" s="42" t="s">
        <v>183</v>
      </c>
      <c r="Q17" s="42" t="s">
        <v>175</v>
      </c>
      <c r="R17" s="47"/>
      <c r="S17" s="47"/>
      <c r="T17" s="43"/>
      <c r="U17" s="43"/>
      <c r="V17" s="42">
        <f t="shared" ca="1" si="0"/>
        <v>0</v>
      </c>
      <c r="W17" s="42" t="str">
        <f t="shared" ca="1" si="1"/>
        <v>Green</v>
      </c>
      <c r="X17" s="42" t="s">
        <v>162</v>
      </c>
      <c r="Y17" s="42"/>
      <c r="Z17" s="42"/>
      <c r="AA17" s="43">
        <v>46236</v>
      </c>
      <c r="AB17" s="42" t="s">
        <v>169</v>
      </c>
    </row>
    <row r="18" spans="1:28" ht="28" customHeight="1">
      <c r="A18" s="30" t="str">
        <f>Summary!A6</f>
        <v>RPA-003</v>
      </c>
      <c r="B18" s="30" t="str">
        <f>Summary!B6</f>
        <v>AP Reports</v>
      </c>
      <c r="C18" s="30" t="str">
        <f>Summary!C6</f>
        <v>Finance</v>
      </c>
      <c r="D18" s="30" t="str">
        <f>Summary!D6</f>
        <v>Sarah M. Alshaikh Mubarak / Abdul R. Sattar</v>
      </c>
      <c r="E18" s="38">
        <f>Summary!E6</f>
        <v>100800</v>
      </c>
      <c r="F18" s="30" t="str">
        <f>Summary!F6</f>
        <v>MEDIUM</v>
      </c>
      <c r="G18" s="30" t="str">
        <f>Summary!G6</f>
        <v>Medium</v>
      </c>
      <c r="H18" s="30" t="str">
        <f>Summary!H6</f>
        <v>S4</v>
      </c>
      <c r="I18" s="30" t="str">
        <f>Summary!I6</f>
        <v>Assessed</v>
      </c>
      <c r="J18" s="30" t="s">
        <v>161</v>
      </c>
      <c r="K18" s="30">
        <f>IF(B18="","",SUM(K19:K24))</f>
        <v>15</v>
      </c>
      <c r="L18" s="39">
        <f>IF(B18="","",L19)</f>
        <v>46237</v>
      </c>
      <c r="M18" s="39">
        <f>IF(B18="","",M24)</f>
        <v>46257</v>
      </c>
      <c r="N18" s="30" t="str">
        <f>IF(B18="","",IF(O18=100%,"Completed",IF(COUNTIF(N19:N24,"On Hold")&gt;0,"On Hold",IF(O18&gt;0%,"In Progress","Not Started"))))</f>
        <v>In Progress</v>
      </c>
      <c r="O18" s="44">
        <f>IF(B18="","",AVERAGE(O19:O24))</f>
        <v>0.58333333333333337</v>
      </c>
      <c r="P18" s="40" t="s">
        <v>78</v>
      </c>
      <c r="Q18" s="40" t="s">
        <v>78</v>
      </c>
      <c r="R18" s="46"/>
      <c r="S18" s="46"/>
      <c r="T18" s="40" t="str">
        <f>IF(COUNT(T19:T24)=0,"",MIN(T19:T24))</f>
        <v/>
      </c>
      <c r="U18" s="40" t="str">
        <f>IF(COUNT(U19:U24)=0,"",MAX(U19:U24))</f>
        <v/>
      </c>
      <c r="V18" s="40">
        <f t="shared" ca="1" si="0"/>
        <v>0</v>
      </c>
      <c r="W18" s="40" t="str">
        <f t="shared" ca="1" si="1"/>
        <v>Green</v>
      </c>
      <c r="X18" s="40" t="s">
        <v>162</v>
      </c>
      <c r="Y18" s="40"/>
      <c r="Z18" s="40"/>
      <c r="AA18" s="40">
        <v>46236</v>
      </c>
      <c r="AB18" s="40" t="s">
        <v>169</v>
      </c>
    </row>
    <row r="19" spans="1:28" ht="28" customHeight="1">
      <c r="A19" s="31" t="str">
        <f>Summary!A6</f>
        <v>RPA-003</v>
      </c>
      <c r="B19" s="31" t="str">
        <f>Summary!B6</f>
        <v>AP Reports</v>
      </c>
      <c r="C19" s="31" t="str">
        <f>Summary!C6</f>
        <v>Finance</v>
      </c>
      <c r="D19" s="31" t="str">
        <f>Summary!D6</f>
        <v>Sarah M. Alshaikh Mubarak / Abdul R. Sattar</v>
      </c>
      <c r="E19" s="41">
        <f>Summary!E6</f>
        <v>100800</v>
      </c>
      <c r="F19" s="31" t="str">
        <f>Summary!F6</f>
        <v>MEDIUM</v>
      </c>
      <c r="G19" s="31" t="str">
        <f>Summary!G6</f>
        <v>Medium</v>
      </c>
      <c r="H19" s="31" t="str">
        <f>Summary!H6</f>
        <v>S4</v>
      </c>
      <c r="I19" s="31" t="str">
        <f>Summary!I6</f>
        <v>Assessed</v>
      </c>
      <c r="J19" s="42" t="s">
        <v>18</v>
      </c>
      <c r="K19" s="42">
        <f>IF(B19="","",Summary!M6)</f>
        <v>1</v>
      </c>
      <c r="L19" s="43">
        <f>IF(Summary!$L6="","",Summary!$L6)</f>
        <v>46237</v>
      </c>
      <c r="M19" s="43">
        <f t="shared" ref="M19:M24" si="6">IF(OR(L19="",K19=""),"",WORKDAY.INTL(L19-1,K19,7))</f>
        <v>46237</v>
      </c>
      <c r="N19" s="42" t="s">
        <v>12</v>
      </c>
      <c r="O19" s="44">
        <f t="shared" ref="O19:O24" si="7">IF(B19="","",IF(N19="Completed",100%,IF(OR(N19="In Progress",N19="On Hold"),50%,0%)))</f>
        <v>1</v>
      </c>
      <c r="P19" s="42" t="s">
        <v>185</v>
      </c>
      <c r="Q19" s="42" t="s">
        <v>171</v>
      </c>
      <c r="R19" s="47"/>
      <c r="S19" s="47"/>
      <c r="T19" s="43"/>
      <c r="U19" s="43"/>
      <c r="V19" s="42">
        <f t="shared" ca="1" si="0"/>
        <v>0</v>
      </c>
      <c r="W19" s="42" t="str">
        <f t="shared" si="1"/>
        <v>Green</v>
      </c>
      <c r="X19" s="42" t="s">
        <v>162</v>
      </c>
      <c r="Y19" s="42"/>
      <c r="Z19" s="42"/>
      <c r="AA19" s="43">
        <v>46236</v>
      </c>
      <c r="AB19" s="42" t="s">
        <v>169</v>
      </c>
    </row>
    <row r="20" spans="1:28" ht="28" customHeight="1">
      <c r="A20" s="31" t="str">
        <f>Summary!A6</f>
        <v>RPA-003</v>
      </c>
      <c r="B20" s="31" t="str">
        <f>Summary!B6</f>
        <v>AP Reports</v>
      </c>
      <c r="C20" s="31" t="str">
        <f>Summary!C6</f>
        <v>Finance</v>
      </c>
      <c r="D20" s="31" t="str">
        <f>Summary!D6</f>
        <v>Sarah M. Alshaikh Mubarak / Abdul R. Sattar</v>
      </c>
      <c r="E20" s="41">
        <f>Summary!E6</f>
        <v>100800</v>
      </c>
      <c r="F20" s="31" t="str">
        <f>Summary!F6</f>
        <v>MEDIUM</v>
      </c>
      <c r="G20" s="31" t="str">
        <f>Summary!G6</f>
        <v>Medium</v>
      </c>
      <c r="H20" s="31" t="str">
        <f>Summary!H6</f>
        <v>S4</v>
      </c>
      <c r="I20" s="31" t="str">
        <f>Summary!I6</f>
        <v>Assessed</v>
      </c>
      <c r="J20" s="42" t="s">
        <v>20</v>
      </c>
      <c r="K20" s="42">
        <f>IF(B20="","",Summary!N6)</f>
        <v>1</v>
      </c>
      <c r="L20" s="43">
        <f>IF(M19="","",WORKDAY.INTL(M19,1,7))</f>
        <v>46238</v>
      </c>
      <c r="M20" s="43">
        <f t="shared" si="6"/>
        <v>46238</v>
      </c>
      <c r="N20" s="42" t="s">
        <v>12</v>
      </c>
      <c r="O20" s="44">
        <f t="shared" si="7"/>
        <v>1</v>
      </c>
      <c r="P20" s="42" t="s">
        <v>185</v>
      </c>
      <c r="Q20" s="42" t="s">
        <v>171</v>
      </c>
      <c r="R20" s="47"/>
      <c r="S20" s="47"/>
      <c r="T20" s="43"/>
      <c r="U20" s="43"/>
      <c r="V20" s="42">
        <f t="shared" ca="1" si="0"/>
        <v>0</v>
      </c>
      <c r="W20" s="42" t="str">
        <f t="shared" si="1"/>
        <v>Green</v>
      </c>
      <c r="X20" s="42" t="s">
        <v>162</v>
      </c>
      <c r="Y20" s="42"/>
      <c r="Z20" s="42"/>
      <c r="AA20" s="43">
        <v>46236</v>
      </c>
      <c r="AB20" s="42" t="s">
        <v>169</v>
      </c>
    </row>
    <row r="21" spans="1:28" ht="28" customHeight="1">
      <c r="A21" s="31" t="str">
        <f>Summary!A6</f>
        <v>RPA-003</v>
      </c>
      <c r="B21" s="31" t="str">
        <f>Summary!B6</f>
        <v>AP Reports</v>
      </c>
      <c r="C21" s="31" t="str">
        <f>Summary!C6</f>
        <v>Finance</v>
      </c>
      <c r="D21" s="31" t="str">
        <f>Summary!D6</f>
        <v>Sarah M. Alshaikh Mubarak / Abdul R. Sattar</v>
      </c>
      <c r="E21" s="41">
        <f>Summary!E6</f>
        <v>100800</v>
      </c>
      <c r="F21" s="31" t="str">
        <f>Summary!F6</f>
        <v>MEDIUM</v>
      </c>
      <c r="G21" s="31" t="str">
        <f>Summary!G6</f>
        <v>Medium</v>
      </c>
      <c r="H21" s="31" t="str">
        <f>Summary!H6</f>
        <v>S4</v>
      </c>
      <c r="I21" s="31" t="str">
        <f>Summary!I6</f>
        <v>Assessed</v>
      </c>
      <c r="J21" s="42" t="s">
        <v>22</v>
      </c>
      <c r="K21" s="42">
        <f>IF(B21="","",Summary!O6)</f>
        <v>1</v>
      </c>
      <c r="L21" s="43">
        <f>IF(M20="","",WORKDAY.INTL(M20,1,7))</f>
        <v>46239</v>
      </c>
      <c r="M21" s="43">
        <f t="shared" si="6"/>
        <v>46239</v>
      </c>
      <c r="N21" s="42" t="s">
        <v>12</v>
      </c>
      <c r="O21" s="44">
        <f t="shared" si="7"/>
        <v>1</v>
      </c>
      <c r="P21" s="42" t="s">
        <v>78</v>
      </c>
      <c r="Q21" s="42" t="s">
        <v>172</v>
      </c>
      <c r="R21" s="47"/>
      <c r="S21" s="47"/>
      <c r="T21" s="43"/>
      <c r="U21" s="43"/>
      <c r="V21" s="42">
        <f t="shared" ca="1" si="0"/>
        <v>0</v>
      </c>
      <c r="W21" s="42" t="str">
        <f t="shared" si="1"/>
        <v>Green</v>
      </c>
      <c r="X21" s="42" t="s">
        <v>162</v>
      </c>
      <c r="Y21" s="42"/>
      <c r="Z21" s="42"/>
      <c r="AA21" s="43">
        <v>46236</v>
      </c>
      <c r="AB21" s="42" t="s">
        <v>169</v>
      </c>
    </row>
    <row r="22" spans="1:28" ht="28" customHeight="1">
      <c r="A22" s="31" t="str">
        <f>Summary!A6</f>
        <v>RPA-003</v>
      </c>
      <c r="B22" s="31" t="str">
        <f>Summary!B6</f>
        <v>AP Reports</v>
      </c>
      <c r="C22" s="31" t="str">
        <f>Summary!C6</f>
        <v>Finance</v>
      </c>
      <c r="D22" s="31" t="str">
        <f>Summary!D6</f>
        <v>Sarah M. Alshaikh Mubarak / Abdul R. Sattar</v>
      </c>
      <c r="E22" s="41">
        <f>Summary!E6</f>
        <v>100800</v>
      </c>
      <c r="F22" s="31" t="str">
        <f>Summary!F6</f>
        <v>MEDIUM</v>
      </c>
      <c r="G22" s="31" t="str">
        <f>Summary!G6</f>
        <v>Medium</v>
      </c>
      <c r="H22" s="31" t="str">
        <f>Summary!H6</f>
        <v>S4</v>
      </c>
      <c r="I22" s="31" t="str">
        <f>Summary!I6</f>
        <v>Assessed</v>
      </c>
      <c r="J22" s="42" t="s">
        <v>24</v>
      </c>
      <c r="K22" s="42">
        <f>IF(B22="","",Summary!P6)</f>
        <v>10</v>
      </c>
      <c r="L22" s="43">
        <f>IF(M21="","",WORKDAY.INTL(M21,1,7))</f>
        <v>46240</v>
      </c>
      <c r="M22" s="43">
        <f t="shared" si="6"/>
        <v>46253</v>
      </c>
      <c r="N22" s="42" t="s">
        <v>173</v>
      </c>
      <c r="O22" s="44">
        <f t="shared" si="7"/>
        <v>0.5</v>
      </c>
      <c r="P22" s="42" t="s">
        <v>186</v>
      </c>
      <c r="Q22" s="42" t="s">
        <v>175</v>
      </c>
      <c r="R22" s="47" t="s">
        <v>187</v>
      </c>
      <c r="S22" s="47" t="s">
        <v>188</v>
      </c>
      <c r="T22" s="43"/>
      <c r="U22" s="43"/>
      <c r="V22" s="42">
        <f t="shared" ca="1" si="0"/>
        <v>0</v>
      </c>
      <c r="W22" s="42" t="str">
        <f t="shared" ca="1" si="1"/>
        <v>Green</v>
      </c>
      <c r="X22" s="42" t="s">
        <v>208</v>
      </c>
      <c r="Y22" s="42"/>
      <c r="Z22" s="42"/>
      <c r="AA22" s="43">
        <v>46236</v>
      </c>
      <c r="AB22" s="42" t="s">
        <v>169</v>
      </c>
    </row>
    <row r="23" spans="1:28" ht="28" customHeight="1">
      <c r="A23" s="31" t="str">
        <f>Summary!A6</f>
        <v>RPA-003</v>
      </c>
      <c r="B23" s="31" t="str">
        <f>Summary!B6</f>
        <v>AP Reports</v>
      </c>
      <c r="C23" s="31" t="str">
        <f>Summary!C6</f>
        <v>Finance</v>
      </c>
      <c r="D23" s="31" t="str">
        <f>Summary!D6</f>
        <v>Sarah M. Alshaikh Mubarak / Abdul R. Sattar</v>
      </c>
      <c r="E23" s="41">
        <f>Summary!E6</f>
        <v>100800</v>
      </c>
      <c r="F23" s="31" t="str">
        <f>Summary!F6</f>
        <v>MEDIUM</v>
      </c>
      <c r="G23" s="31" t="str">
        <f>Summary!G6</f>
        <v>Medium</v>
      </c>
      <c r="H23" s="31" t="str">
        <f>Summary!H6</f>
        <v>S4</v>
      </c>
      <c r="I23" s="31" t="str">
        <f>Summary!I6</f>
        <v>Assessed</v>
      </c>
      <c r="J23" s="42" t="s">
        <v>26</v>
      </c>
      <c r="K23" s="42">
        <f>IF(B23="","",Summary!Q6)</f>
        <v>1</v>
      </c>
      <c r="L23" s="43">
        <f>IF(M22="","",WORKDAY.INTL(M22,1,7))</f>
        <v>46254</v>
      </c>
      <c r="M23" s="43">
        <f t="shared" si="6"/>
        <v>46254</v>
      </c>
      <c r="N23" s="42" t="s">
        <v>178</v>
      </c>
      <c r="O23" s="44">
        <f t="shared" si="7"/>
        <v>0</v>
      </c>
      <c r="P23" s="42" t="s">
        <v>189</v>
      </c>
      <c r="Q23" s="42" t="s">
        <v>180</v>
      </c>
      <c r="R23" s="47"/>
      <c r="S23" s="47"/>
      <c r="T23" s="43"/>
      <c r="U23" s="43"/>
      <c r="V23" s="42">
        <f t="shared" ca="1" si="0"/>
        <v>0</v>
      </c>
      <c r="W23" s="42" t="str">
        <f t="shared" ca="1" si="1"/>
        <v>Green</v>
      </c>
      <c r="X23" s="42" t="s">
        <v>162</v>
      </c>
      <c r="Y23" s="42"/>
      <c r="Z23" s="42"/>
      <c r="AA23" s="43">
        <v>46236</v>
      </c>
      <c r="AB23" s="42" t="s">
        <v>169</v>
      </c>
    </row>
    <row r="24" spans="1:28" ht="28" customHeight="1">
      <c r="A24" s="31" t="str">
        <f>Summary!A6</f>
        <v>RPA-003</v>
      </c>
      <c r="B24" s="31" t="str">
        <f>Summary!B6</f>
        <v>AP Reports</v>
      </c>
      <c r="C24" s="31" t="str">
        <f>Summary!C6</f>
        <v>Finance</v>
      </c>
      <c r="D24" s="31" t="str">
        <f>Summary!D6</f>
        <v>Sarah M. Alshaikh Mubarak / Abdul R. Sattar</v>
      </c>
      <c r="E24" s="41">
        <f>Summary!E6</f>
        <v>100800</v>
      </c>
      <c r="F24" s="31" t="str">
        <f>Summary!F6</f>
        <v>MEDIUM</v>
      </c>
      <c r="G24" s="31" t="str">
        <f>Summary!G6</f>
        <v>Medium</v>
      </c>
      <c r="H24" s="31" t="str">
        <f>Summary!H6</f>
        <v>S4</v>
      </c>
      <c r="I24" s="31" t="str">
        <f>Summary!I6</f>
        <v>Assessed</v>
      </c>
      <c r="J24" s="42" t="s">
        <v>27</v>
      </c>
      <c r="K24" s="42">
        <f>IF(B24="","",Summary!R6)</f>
        <v>1</v>
      </c>
      <c r="L24" s="43">
        <f>IF(M23="","",WORKDAY.INTL(M23,1,7))</f>
        <v>46257</v>
      </c>
      <c r="M24" s="43">
        <f t="shared" si="6"/>
        <v>46257</v>
      </c>
      <c r="N24" s="42" t="s">
        <v>178</v>
      </c>
      <c r="O24" s="44">
        <f t="shared" si="7"/>
        <v>0</v>
      </c>
      <c r="P24" s="42" t="s">
        <v>186</v>
      </c>
      <c r="Q24" s="42" t="s">
        <v>175</v>
      </c>
      <c r="R24" s="47"/>
      <c r="S24" s="47"/>
      <c r="T24" s="43"/>
      <c r="U24" s="43"/>
      <c r="V24" s="42">
        <f t="shared" ca="1" si="0"/>
        <v>0</v>
      </c>
      <c r="W24" s="42" t="str">
        <f t="shared" ca="1" si="1"/>
        <v>Green</v>
      </c>
      <c r="X24" s="42" t="s">
        <v>162</v>
      </c>
      <c r="Y24" s="42"/>
      <c r="Z24" s="42"/>
      <c r="AA24" s="43">
        <v>46236</v>
      </c>
      <c r="AB24" s="42" t="s">
        <v>169</v>
      </c>
    </row>
    <row r="25" spans="1:28" ht="28" customHeight="1">
      <c r="A25" s="30" t="str">
        <f>Summary!A7</f>
        <v>RPA-004</v>
      </c>
      <c r="B25" s="30" t="str">
        <f>Summary!B7</f>
        <v>AP Invoice</v>
      </c>
      <c r="C25" s="30" t="str">
        <f>Summary!C7</f>
        <v>Finance</v>
      </c>
      <c r="D25" s="30" t="str">
        <f>Summary!D7</f>
        <v>Sarah M. Alshaikh Mubarak</v>
      </c>
      <c r="E25" s="38">
        <f>Summary!E7</f>
        <v>182000</v>
      </c>
      <c r="F25" s="30" t="str">
        <f>Summary!F7</f>
        <v>High</v>
      </c>
      <c r="G25" s="30" t="str">
        <f>Summary!G7</f>
        <v>Medium</v>
      </c>
      <c r="H25" s="30" t="str">
        <f>Summary!H7</f>
        <v>S2</v>
      </c>
      <c r="I25" s="30" t="str">
        <f>Summary!I7</f>
        <v>Assessed</v>
      </c>
      <c r="J25" s="30" t="s">
        <v>161</v>
      </c>
      <c r="K25" s="30">
        <f>IF(B25="","",SUM(K26:K31))</f>
        <v>45</v>
      </c>
      <c r="L25" s="39">
        <f>IF(B25="","",L26)</f>
        <v>46236</v>
      </c>
      <c r="M25" s="39">
        <f>IF(B25="","",M31)</f>
        <v>46296</v>
      </c>
      <c r="N25" s="30" t="str">
        <f>IF(B25="","",IF(O25=100%,"Completed",IF(COUNTIF(N26:N31,"On Hold")&gt;0,"On Hold",IF(O25&gt;0%,"In Progress","Not Started"))))</f>
        <v>In Progress</v>
      </c>
      <c r="O25" s="44">
        <f>IF(B25="","",AVERAGE(O26:O31))</f>
        <v>0.25</v>
      </c>
      <c r="P25" s="40" t="s">
        <v>81</v>
      </c>
      <c r="Q25" s="40"/>
      <c r="R25" s="46"/>
      <c r="S25" s="46"/>
      <c r="T25" s="40" t="str">
        <f>IF(COUNT(T26:T31)=0,"",MIN(T26:T31))</f>
        <v/>
      </c>
      <c r="U25" s="40" t="str">
        <f>IF(COUNT(U26:U31)=0,"",MAX(U26:U31))</f>
        <v/>
      </c>
      <c r="V25" s="40">
        <f t="shared" ca="1" si="0"/>
        <v>0</v>
      </c>
      <c r="W25" s="40" t="str">
        <f t="shared" ca="1" si="1"/>
        <v>Green</v>
      </c>
      <c r="X25" s="40" t="s">
        <v>162</v>
      </c>
      <c r="Y25" s="40"/>
      <c r="Z25" s="40"/>
      <c r="AA25" s="40">
        <v>46236</v>
      </c>
      <c r="AB25" s="40" t="s">
        <v>169</v>
      </c>
    </row>
    <row r="26" spans="1:28" ht="28" customHeight="1">
      <c r="A26" s="31" t="str">
        <f>Summary!A7</f>
        <v>RPA-004</v>
      </c>
      <c r="B26" s="31" t="str">
        <f>Summary!B7</f>
        <v>AP Invoice</v>
      </c>
      <c r="C26" s="31" t="str">
        <f>Summary!C7</f>
        <v>Finance</v>
      </c>
      <c r="D26" s="31" t="str">
        <f>Summary!D7</f>
        <v>Sarah M. Alshaikh Mubarak</v>
      </c>
      <c r="E26" s="41">
        <f>Summary!E7</f>
        <v>182000</v>
      </c>
      <c r="F26" s="31" t="str">
        <f>Summary!F7</f>
        <v>High</v>
      </c>
      <c r="G26" s="31" t="str">
        <f>Summary!G7</f>
        <v>Medium</v>
      </c>
      <c r="H26" s="31" t="str">
        <f>Summary!H7</f>
        <v>S2</v>
      </c>
      <c r="I26" s="31" t="str">
        <f>Summary!I7</f>
        <v>Assessed</v>
      </c>
      <c r="J26" s="42" t="s">
        <v>18</v>
      </c>
      <c r="K26" s="42">
        <f>IF(B26="","",Summary!M7)</f>
        <v>1</v>
      </c>
      <c r="L26" s="43">
        <f>IF(Summary!$L7="","",Summary!$L7)</f>
        <v>46236</v>
      </c>
      <c r="M26" s="43">
        <f t="shared" ref="M26:M31" si="8">IF(OR(L26="",K26=""),"",WORKDAY.INTL(L26-1,K26,7))</f>
        <v>46236</v>
      </c>
      <c r="N26" s="42" t="s">
        <v>12</v>
      </c>
      <c r="O26" s="44">
        <f t="shared" ref="O26:O31" si="9">IF(B26="","",IF(N26="Completed",100%,IF(OR(N26="In Progress",N26="On Hold"),50%,0%)))</f>
        <v>1</v>
      </c>
      <c r="P26" s="42" t="s">
        <v>190</v>
      </c>
      <c r="Q26" s="42" t="s">
        <v>171</v>
      </c>
      <c r="R26" s="47"/>
      <c r="S26" s="47"/>
      <c r="T26" s="43"/>
      <c r="U26" s="43"/>
      <c r="V26" s="42">
        <f t="shared" ca="1" si="0"/>
        <v>0</v>
      </c>
      <c r="W26" s="42" t="str">
        <f t="shared" si="1"/>
        <v>Green</v>
      </c>
      <c r="X26" s="42" t="s">
        <v>162</v>
      </c>
      <c r="Y26" s="42"/>
      <c r="Z26" s="42"/>
      <c r="AA26" s="43">
        <v>46236</v>
      </c>
      <c r="AB26" s="42" t="s">
        <v>169</v>
      </c>
    </row>
    <row r="27" spans="1:28" ht="28" customHeight="1">
      <c r="A27" s="31" t="str">
        <f>Summary!A7</f>
        <v>RPA-004</v>
      </c>
      <c r="B27" s="31" t="str">
        <f>Summary!B7</f>
        <v>AP Invoice</v>
      </c>
      <c r="C27" s="31" t="str">
        <f>Summary!C7</f>
        <v>Finance</v>
      </c>
      <c r="D27" s="31" t="str">
        <f>Summary!D7</f>
        <v>Sarah M. Alshaikh Mubarak</v>
      </c>
      <c r="E27" s="41">
        <f>Summary!E7</f>
        <v>182000</v>
      </c>
      <c r="F27" s="31" t="str">
        <f>Summary!F7</f>
        <v>High</v>
      </c>
      <c r="G27" s="31" t="str">
        <f>Summary!G7</f>
        <v>Medium</v>
      </c>
      <c r="H27" s="31" t="str">
        <f>Summary!H7</f>
        <v>S2</v>
      </c>
      <c r="I27" s="31" t="str">
        <f>Summary!I7</f>
        <v>Assessed</v>
      </c>
      <c r="J27" s="42" t="s">
        <v>20</v>
      </c>
      <c r="K27" s="42">
        <f>IF(B27="","",Summary!N7)</f>
        <v>1</v>
      </c>
      <c r="L27" s="43">
        <f>IF(M26="","",WORKDAY.INTL(M26,1,7))</f>
        <v>46237</v>
      </c>
      <c r="M27" s="43">
        <f t="shared" si="8"/>
        <v>46237</v>
      </c>
      <c r="N27" s="42" t="s">
        <v>173</v>
      </c>
      <c r="O27" s="44">
        <f t="shared" si="9"/>
        <v>0.5</v>
      </c>
      <c r="P27" s="42" t="s">
        <v>190</v>
      </c>
      <c r="Q27" s="42" t="s">
        <v>171</v>
      </c>
      <c r="R27" s="47"/>
      <c r="S27" s="47"/>
      <c r="T27" s="43"/>
      <c r="U27" s="43"/>
      <c r="V27" s="42">
        <f t="shared" ca="1" si="0"/>
        <v>0</v>
      </c>
      <c r="W27" s="42" t="str">
        <f t="shared" ca="1" si="1"/>
        <v>Green</v>
      </c>
      <c r="X27" s="42" t="s">
        <v>162</v>
      </c>
      <c r="Y27" s="42"/>
      <c r="Z27" s="42"/>
      <c r="AA27" s="43">
        <v>46236</v>
      </c>
      <c r="AB27" s="42" t="s">
        <v>169</v>
      </c>
    </row>
    <row r="28" spans="1:28" ht="28" customHeight="1">
      <c r="A28" s="31" t="str">
        <f>Summary!A7</f>
        <v>RPA-004</v>
      </c>
      <c r="B28" s="31" t="str">
        <f>Summary!B7</f>
        <v>AP Invoice</v>
      </c>
      <c r="C28" s="31" t="str">
        <f>Summary!C7</f>
        <v>Finance</v>
      </c>
      <c r="D28" s="31" t="str">
        <f>Summary!D7</f>
        <v>Sarah M. Alshaikh Mubarak</v>
      </c>
      <c r="E28" s="41">
        <f>Summary!E7</f>
        <v>182000</v>
      </c>
      <c r="F28" s="31" t="str">
        <f>Summary!F7</f>
        <v>High</v>
      </c>
      <c r="G28" s="31" t="str">
        <f>Summary!G7</f>
        <v>Medium</v>
      </c>
      <c r="H28" s="31" t="str">
        <f>Summary!H7</f>
        <v>S2</v>
      </c>
      <c r="I28" s="31" t="str">
        <f>Summary!I7</f>
        <v>Assessed</v>
      </c>
      <c r="J28" s="42" t="s">
        <v>22</v>
      </c>
      <c r="K28" s="42">
        <f>IF(B28="","",Summary!O7)</f>
        <v>1</v>
      </c>
      <c r="L28" s="43">
        <f>IF(M27="","",WORKDAY.INTL(M27,1,7))</f>
        <v>46238</v>
      </c>
      <c r="M28" s="43">
        <f t="shared" si="8"/>
        <v>46238</v>
      </c>
      <c r="N28" s="42" t="s">
        <v>178</v>
      </c>
      <c r="O28" s="44">
        <f t="shared" si="9"/>
        <v>0</v>
      </c>
      <c r="P28" s="42" t="s">
        <v>81</v>
      </c>
      <c r="Q28" s="42" t="s">
        <v>172</v>
      </c>
      <c r="R28" s="47"/>
      <c r="S28" s="47"/>
      <c r="T28" s="43"/>
      <c r="U28" s="43"/>
      <c r="V28" s="42">
        <f t="shared" ca="1" si="0"/>
        <v>0</v>
      </c>
      <c r="W28" s="42" t="str">
        <f t="shared" ca="1" si="1"/>
        <v>Green</v>
      </c>
      <c r="X28" s="42" t="s">
        <v>162</v>
      </c>
      <c r="Y28" s="42"/>
      <c r="Z28" s="42"/>
      <c r="AA28" s="43">
        <v>46236</v>
      </c>
      <c r="AB28" s="42" t="s">
        <v>169</v>
      </c>
    </row>
    <row r="29" spans="1:28" ht="28" customHeight="1">
      <c r="A29" s="31" t="str">
        <f>Summary!A7</f>
        <v>RPA-004</v>
      </c>
      <c r="B29" s="31" t="str">
        <f>Summary!B7</f>
        <v>AP Invoice</v>
      </c>
      <c r="C29" s="31" t="str">
        <f>Summary!C7</f>
        <v>Finance</v>
      </c>
      <c r="D29" s="31" t="str">
        <f>Summary!D7</f>
        <v>Sarah M. Alshaikh Mubarak</v>
      </c>
      <c r="E29" s="41">
        <f>Summary!E7</f>
        <v>182000</v>
      </c>
      <c r="F29" s="31" t="str">
        <f>Summary!F7</f>
        <v>High</v>
      </c>
      <c r="G29" s="31" t="str">
        <f>Summary!G7</f>
        <v>Medium</v>
      </c>
      <c r="H29" s="31" t="str">
        <f>Summary!H7</f>
        <v>S2</v>
      </c>
      <c r="I29" s="31" t="str">
        <f>Summary!I7</f>
        <v>Assessed</v>
      </c>
      <c r="J29" s="42" t="s">
        <v>24</v>
      </c>
      <c r="K29" s="42">
        <f>IF(B29="","",Summary!P7)</f>
        <v>40</v>
      </c>
      <c r="L29" s="43">
        <f>IF(M28="","",WORKDAY.INTL(M28,1,7))</f>
        <v>46239</v>
      </c>
      <c r="M29" s="43">
        <f t="shared" si="8"/>
        <v>46294</v>
      </c>
      <c r="N29" s="42" t="s">
        <v>178</v>
      </c>
      <c r="O29" s="44">
        <f t="shared" si="9"/>
        <v>0</v>
      </c>
      <c r="P29" s="42" t="s">
        <v>191</v>
      </c>
      <c r="Q29" s="42" t="s">
        <v>175</v>
      </c>
      <c r="R29" s="47"/>
      <c r="S29" s="47"/>
      <c r="T29" s="43"/>
      <c r="U29" s="43"/>
      <c r="V29" s="42">
        <f t="shared" ca="1" si="0"/>
        <v>0</v>
      </c>
      <c r="W29" s="42" t="str">
        <f t="shared" ca="1" si="1"/>
        <v>Green</v>
      </c>
      <c r="X29" s="42" t="s">
        <v>162</v>
      </c>
      <c r="Y29" s="42"/>
      <c r="Z29" s="42"/>
      <c r="AA29" s="43">
        <v>46236</v>
      </c>
      <c r="AB29" s="42" t="s">
        <v>169</v>
      </c>
    </row>
    <row r="30" spans="1:28" ht="28" customHeight="1">
      <c r="A30" s="31" t="str">
        <f>Summary!A7</f>
        <v>RPA-004</v>
      </c>
      <c r="B30" s="31" t="str">
        <f>Summary!B7</f>
        <v>AP Invoice</v>
      </c>
      <c r="C30" s="31" t="str">
        <f>Summary!C7</f>
        <v>Finance</v>
      </c>
      <c r="D30" s="31" t="str">
        <f>Summary!D7</f>
        <v>Sarah M. Alshaikh Mubarak</v>
      </c>
      <c r="E30" s="41">
        <f>Summary!E7</f>
        <v>182000</v>
      </c>
      <c r="F30" s="31" t="str">
        <f>Summary!F7</f>
        <v>High</v>
      </c>
      <c r="G30" s="31" t="str">
        <f>Summary!G7</f>
        <v>Medium</v>
      </c>
      <c r="H30" s="31" t="str">
        <f>Summary!H7</f>
        <v>S2</v>
      </c>
      <c r="I30" s="31" t="str">
        <f>Summary!I7</f>
        <v>Assessed</v>
      </c>
      <c r="J30" s="42" t="s">
        <v>26</v>
      </c>
      <c r="K30" s="42">
        <f>IF(B30="","",Summary!Q7)</f>
        <v>1</v>
      </c>
      <c r="L30" s="43">
        <f>IF(M29="","",WORKDAY.INTL(M29,1,7))</f>
        <v>46295</v>
      </c>
      <c r="M30" s="43">
        <f t="shared" si="8"/>
        <v>46295</v>
      </c>
      <c r="N30" s="42" t="s">
        <v>178</v>
      </c>
      <c r="O30" s="44">
        <f t="shared" si="9"/>
        <v>0</v>
      </c>
      <c r="P30" s="42" t="s">
        <v>192</v>
      </c>
      <c r="Q30" s="42" t="s">
        <v>180</v>
      </c>
      <c r="R30" s="47"/>
      <c r="S30" s="47"/>
      <c r="T30" s="43"/>
      <c r="U30" s="43"/>
      <c r="V30" s="42">
        <f t="shared" ca="1" si="0"/>
        <v>0</v>
      </c>
      <c r="W30" s="42" t="str">
        <f t="shared" ca="1" si="1"/>
        <v>Green</v>
      </c>
      <c r="X30" s="42" t="s">
        <v>162</v>
      </c>
      <c r="Y30" s="42"/>
      <c r="Z30" s="42"/>
      <c r="AA30" s="43">
        <v>46236</v>
      </c>
      <c r="AB30" s="42" t="s">
        <v>169</v>
      </c>
    </row>
    <row r="31" spans="1:28" ht="28" customHeight="1">
      <c r="A31" s="31" t="str">
        <f>Summary!A7</f>
        <v>RPA-004</v>
      </c>
      <c r="B31" s="31" t="str">
        <f>Summary!B7</f>
        <v>AP Invoice</v>
      </c>
      <c r="C31" s="31" t="str">
        <f>Summary!C7</f>
        <v>Finance</v>
      </c>
      <c r="D31" s="31" t="str">
        <f>Summary!D7</f>
        <v>Sarah M. Alshaikh Mubarak</v>
      </c>
      <c r="E31" s="41">
        <f>Summary!E7</f>
        <v>182000</v>
      </c>
      <c r="F31" s="31" t="str">
        <f>Summary!F7</f>
        <v>High</v>
      </c>
      <c r="G31" s="31" t="str">
        <f>Summary!G7</f>
        <v>Medium</v>
      </c>
      <c r="H31" s="31" t="str">
        <f>Summary!H7</f>
        <v>S2</v>
      </c>
      <c r="I31" s="31" t="str">
        <f>Summary!I7</f>
        <v>Assessed</v>
      </c>
      <c r="J31" s="42" t="s">
        <v>27</v>
      </c>
      <c r="K31" s="42">
        <f>IF(B31="","",Summary!R7)</f>
        <v>1</v>
      </c>
      <c r="L31" s="43">
        <f>IF(M30="","",WORKDAY.INTL(M30,1,7))</f>
        <v>46296</v>
      </c>
      <c r="M31" s="43">
        <f t="shared" si="8"/>
        <v>46296</v>
      </c>
      <c r="N31" s="42" t="s">
        <v>178</v>
      </c>
      <c r="O31" s="44">
        <f t="shared" si="9"/>
        <v>0</v>
      </c>
      <c r="P31" s="42" t="s">
        <v>191</v>
      </c>
      <c r="Q31" s="42" t="s">
        <v>175</v>
      </c>
      <c r="R31" s="47"/>
      <c r="S31" s="47"/>
      <c r="T31" s="43"/>
      <c r="U31" s="43"/>
      <c r="V31" s="42">
        <f t="shared" ca="1" si="0"/>
        <v>0</v>
      </c>
      <c r="W31" s="42" t="str">
        <f t="shared" ca="1" si="1"/>
        <v>Green</v>
      </c>
      <c r="X31" s="42" t="s">
        <v>162</v>
      </c>
      <c r="Y31" s="42"/>
      <c r="Z31" s="42"/>
      <c r="AA31" s="43">
        <v>46236</v>
      </c>
      <c r="AB31" s="42" t="s">
        <v>169</v>
      </c>
    </row>
    <row r="32" spans="1:28" ht="28" customHeight="1">
      <c r="A32" s="30" t="str">
        <f>Summary!A8</f>
        <v>RPA-005</v>
      </c>
      <c r="B32" s="30" t="str">
        <f>Summary!B8</f>
        <v>Invoice Verifications and Processing</v>
      </c>
      <c r="C32" s="30" t="str">
        <f>Summary!C8</f>
        <v>Shared Services</v>
      </c>
      <c r="D32" s="30" t="str">
        <f>Summary!D8</f>
        <v>Bshaier</v>
      </c>
      <c r="E32" s="38">
        <f>Summary!E8</f>
        <v>100100</v>
      </c>
      <c r="F32" s="30" t="str">
        <f>Summary!F8</f>
        <v>HIGH</v>
      </c>
      <c r="G32" s="30" t="str">
        <f>Summary!G8</f>
        <v>Medium</v>
      </c>
      <c r="H32" s="30" t="str">
        <f>Summary!H8</f>
        <v>S5</v>
      </c>
      <c r="I32" s="30" t="str">
        <f>Summary!I8</f>
        <v>Assessed</v>
      </c>
      <c r="J32" s="30" t="s">
        <v>161</v>
      </c>
      <c r="K32" s="30">
        <f>IF(B32="","",SUM(K33:K38))</f>
        <v>38</v>
      </c>
      <c r="L32" s="39">
        <f>IF(B32="","",L33)</f>
        <v>46238</v>
      </c>
      <c r="M32" s="39">
        <f>IF(B32="","",M38)</f>
        <v>46289</v>
      </c>
      <c r="N32" s="30" t="str">
        <f>IF(B32="","",IF(O32=100%,"Completed",IF(COUNTIF(N33:N38,"On Hold")&gt;0,"On Hold",IF(O32&gt;0%,"In Progress","Not Started"))))</f>
        <v>In Progress</v>
      </c>
      <c r="O32" s="44">
        <f>IF(B32="","",AVERAGE(O33:O38))</f>
        <v>0.25</v>
      </c>
      <c r="P32" s="40" t="s">
        <v>85</v>
      </c>
      <c r="Q32" s="40"/>
      <c r="R32" s="46"/>
      <c r="S32" s="46"/>
      <c r="T32" s="40" t="str">
        <f>IF(COUNT(T33:T38)=0,"",MIN(T33:T38))</f>
        <v/>
      </c>
      <c r="U32" s="40" t="str">
        <f>IF(COUNT(U33:U38)=0,"",MAX(U33:U38))</f>
        <v/>
      </c>
      <c r="V32" s="40">
        <f t="shared" ca="1" si="0"/>
        <v>0</v>
      </c>
      <c r="W32" s="40" t="str">
        <f t="shared" ca="1" si="1"/>
        <v>Green</v>
      </c>
      <c r="X32" s="40" t="s">
        <v>162</v>
      </c>
      <c r="Y32" s="40"/>
      <c r="Z32" s="40"/>
      <c r="AA32" s="40">
        <v>46236</v>
      </c>
      <c r="AB32" s="40" t="s">
        <v>169</v>
      </c>
    </row>
    <row r="33" spans="1:28" ht="28" customHeight="1">
      <c r="A33" s="31" t="str">
        <f>Summary!A8</f>
        <v>RPA-005</v>
      </c>
      <c r="B33" s="31" t="str">
        <f>Summary!B8</f>
        <v>Invoice Verifications and Processing</v>
      </c>
      <c r="C33" s="31" t="str">
        <f>Summary!C8</f>
        <v>Shared Services</v>
      </c>
      <c r="D33" s="31" t="str">
        <f>Summary!D8</f>
        <v>Bshaier</v>
      </c>
      <c r="E33" s="41">
        <f>Summary!E8</f>
        <v>100100</v>
      </c>
      <c r="F33" s="31" t="str">
        <f>Summary!F8</f>
        <v>HIGH</v>
      </c>
      <c r="G33" s="31" t="str">
        <f>Summary!G8</f>
        <v>Medium</v>
      </c>
      <c r="H33" s="31" t="str">
        <f>Summary!H8</f>
        <v>S5</v>
      </c>
      <c r="I33" s="31" t="str">
        <f>Summary!I8</f>
        <v>Assessed</v>
      </c>
      <c r="J33" s="42" t="s">
        <v>18</v>
      </c>
      <c r="K33" s="42">
        <f>IF(B33="","",Summary!M8)</f>
        <v>1</v>
      </c>
      <c r="L33" s="43">
        <f>IF(Summary!$L8="","",Summary!$L8)</f>
        <v>46238</v>
      </c>
      <c r="M33" s="43">
        <f t="shared" ref="M33:M38" si="10">IF(OR(L33="",K33=""),"",WORKDAY.INTL(L33-1,K33,7))</f>
        <v>46238</v>
      </c>
      <c r="N33" s="42" t="s">
        <v>12</v>
      </c>
      <c r="O33" s="44">
        <f t="shared" ref="O33:O38" si="11">IF(B33="","",IF(N33="Completed",100%,IF(OR(N33="In Progress",N33="On Hold"),50%,0%)))</f>
        <v>1</v>
      </c>
      <c r="P33" s="42" t="s">
        <v>185</v>
      </c>
      <c r="Q33" s="42" t="s">
        <v>171</v>
      </c>
      <c r="R33" s="47"/>
      <c r="S33" s="47"/>
      <c r="T33" s="43"/>
      <c r="U33" s="43"/>
      <c r="V33" s="42">
        <f t="shared" ca="1" si="0"/>
        <v>0</v>
      </c>
      <c r="W33" s="42" t="str">
        <f t="shared" si="1"/>
        <v>Green</v>
      </c>
      <c r="X33" s="42" t="s">
        <v>162</v>
      </c>
      <c r="Y33" s="42"/>
      <c r="Z33" s="42"/>
      <c r="AA33" s="43">
        <v>46236</v>
      </c>
      <c r="AB33" s="42" t="s">
        <v>169</v>
      </c>
    </row>
    <row r="34" spans="1:28" ht="28" customHeight="1">
      <c r="A34" s="31" t="str">
        <f>Summary!A8</f>
        <v>RPA-005</v>
      </c>
      <c r="B34" s="31" t="str">
        <f>Summary!B8</f>
        <v>Invoice Verifications and Processing</v>
      </c>
      <c r="C34" s="31" t="str">
        <f>Summary!C8</f>
        <v>Shared Services</v>
      </c>
      <c r="D34" s="31" t="str">
        <f>Summary!D8</f>
        <v>Bshaier</v>
      </c>
      <c r="E34" s="41">
        <f>Summary!E8</f>
        <v>100100</v>
      </c>
      <c r="F34" s="31" t="str">
        <f>Summary!F8</f>
        <v>HIGH</v>
      </c>
      <c r="G34" s="31" t="str">
        <f>Summary!G8</f>
        <v>Medium</v>
      </c>
      <c r="H34" s="31" t="str">
        <f>Summary!H8</f>
        <v>S5</v>
      </c>
      <c r="I34" s="31" t="str">
        <f>Summary!I8</f>
        <v>Assessed</v>
      </c>
      <c r="J34" s="42" t="s">
        <v>20</v>
      </c>
      <c r="K34" s="42">
        <f>IF(B34="","",Summary!N8)</f>
        <v>1</v>
      </c>
      <c r="L34" s="43">
        <f>IF(M33="","",WORKDAY.INTL(M33,1,7))</f>
        <v>46239</v>
      </c>
      <c r="M34" s="43">
        <f t="shared" si="10"/>
        <v>46239</v>
      </c>
      <c r="N34" s="42" t="s">
        <v>173</v>
      </c>
      <c r="O34" s="44">
        <f t="shared" si="11"/>
        <v>0.5</v>
      </c>
      <c r="P34" s="42" t="s">
        <v>185</v>
      </c>
      <c r="Q34" s="42" t="s">
        <v>171</v>
      </c>
      <c r="R34" s="47"/>
      <c r="S34" s="47"/>
      <c r="T34" s="43"/>
      <c r="U34" s="43"/>
      <c r="V34" s="42">
        <f t="shared" ca="1" si="0"/>
        <v>0</v>
      </c>
      <c r="W34" s="42" t="str">
        <f t="shared" ca="1" si="1"/>
        <v>Green</v>
      </c>
      <c r="X34" s="42" t="s">
        <v>162</v>
      </c>
      <c r="Y34" s="42"/>
      <c r="Z34" s="42"/>
      <c r="AA34" s="43">
        <v>46236</v>
      </c>
      <c r="AB34" s="42" t="s">
        <v>169</v>
      </c>
    </row>
    <row r="35" spans="1:28" ht="28" customHeight="1">
      <c r="A35" s="31" t="str">
        <f>Summary!A8</f>
        <v>RPA-005</v>
      </c>
      <c r="B35" s="31" t="str">
        <f>Summary!B8</f>
        <v>Invoice Verifications and Processing</v>
      </c>
      <c r="C35" s="31" t="str">
        <f>Summary!C8</f>
        <v>Shared Services</v>
      </c>
      <c r="D35" s="31" t="str">
        <f>Summary!D8</f>
        <v>Bshaier</v>
      </c>
      <c r="E35" s="41">
        <f>Summary!E8</f>
        <v>100100</v>
      </c>
      <c r="F35" s="31" t="str">
        <f>Summary!F8</f>
        <v>HIGH</v>
      </c>
      <c r="G35" s="31" t="str">
        <f>Summary!G8</f>
        <v>Medium</v>
      </c>
      <c r="H35" s="31" t="str">
        <f>Summary!H8</f>
        <v>S5</v>
      </c>
      <c r="I35" s="31" t="str">
        <f>Summary!I8</f>
        <v>Assessed</v>
      </c>
      <c r="J35" s="42" t="s">
        <v>22</v>
      </c>
      <c r="K35" s="42">
        <f>IF(B35="","",Summary!O8)</f>
        <v>1</v>
      </c>
      <c r="L35" s="43">
        <f>IF(M34="","",WORKDAY.INTL(M34,1,7))</f>
        <v>46240</v>
      </c>
      <c r="M35" s="43">
        <f t="shared" si="10"/>
        <v>46240</v>
      </c>
      <c r="N35" s="42" t="s">
        <v>178</v>
      </c>
      <c r="O35" s="44">
        <f t="shared" si="11"/>
        <v>0</v>
      </c>
      <c r="P35" s="42" t="s">
        <v>85</v>
      </c>
      <c r="Q35" s="42" t="s">
        <v>172</v>
      </c>
      <c r="R35" s="47"/>
      <c r="S35" s="47"/>
      <c r="T35" s="43"/>
      <c r="U35" s="43"/>
      <c r="V35" s="42">
        <f t="shared" ca="1" si="0"/>
        <v>0</v>
      </c>
      <c r="W35" s="42" t="str">
        <f t="shared" ca="1" si="1"/>
        <v>Green</v>
      </c>
      <c r="X35" s="42" t="s">
        <v>162</v>
      </c>
      <c r="Y35" s="42"/>
      <c r="Z35" s="42"/>
      <c r="AA35" s="43">
        <v>46236</v>
      </c>
      <c r="AB35" s="42" t="s">
        <v>169</v>
      </c>
    </row>
    <row r="36" spans="1:28" ht="28" customHeight="1">
      <c r="A36" s="31" t="str">
        <f>Summary!A8</f>
        <v>RPA-005</v>
      </c>
      <c r="B36" s="31" t="str">
        <f>Summary!B8</f>
        <v>Invoice Verifications and Processing</v>
      </c>
      <c r="C36" s="31" t="str">
        <f>Summary!C8</f>
        <v>Shared Services</v>
      </c>
      <c r="D36" s="31" t="str">
        <f>Summary!D8</f>
        <v>Bshaier</v>
      </c>
      <c r="E36" s="41">
        <f>Summary!E8</f>
        <v>100100</v>
      </c>
      <c r="F36" s="31" t="str">
        <f>Summary!F8</f>
        <v>HIGH</v>
      </c>
      <c r="G36" s="31" t="str">
        <f>Summary!G8</f>
        <v>Medium</v>
      </c>
      <c r="H36" s="31" t="str">
        <f>Summary!H8</f>
        <v>S5</v>
      </c>
      <c r="I36" s="31" t="str">
        <f>Summary!I8</f>
        <v>Assessed</v>
      </c>
      <c r="J36" s="42" t="s">
        <v>24</v>
      </c>
      <c r="K36" s="42">
        <f>IF(B36="","",Summary!P8)</f>
        <v>33</v>
      </c>
      <c r="L36" s="43">
        <f>IF(M35="","",WORKDAY.INTL(M35,1,7))</f>
        <v>46243</v>
      </c>
      <c r="M36" s="43">
        <f t="shared" si="10"/>
        <v>46287</v>
      </c>
      <c r="N36" s="42" t="s">
        <v>178</v>
      </c>
      <c r="O36" s="44">
        <f t="shared" si="11"/>
        <v>0</v>
      </c>
      <c r="P36" s="42" t="s">
        <v>183</v>
      </c>
      <c r="Q36" s="42" t="s">
        <v>175</v>
      </c>
      <c r="R36" s="47"/>
      <c r="S36" s="47"/>
      <c r="T36" s="43"/>
      <c r="U36" s="43"/>
      <c r="V36" s="42">
        <f t="shared" ca="1" si="0"/>
        <v>0</v>
      </c>
      <c r="W36" s="42" t="str">
        <f t="shared" ca="1" si="1"/>
        <v>Green</v>
      </c>
      <c r="X36" s="42" t="s">
        <v>162</v>
      </c>
      <c r="Y36" s="42"/>
      <c r="Z36" s="42"/>
      <c r="AA36" s="43">
        <v>46236</v>
      </c>
      <c r="AB36" s="42" t="s">
        <v>169</v>
      </c>
    </row>
    <row r="37" spans="1:28" ht="28" customHeight="1">
      <c r="A37" s="31" t="str">
        <f>Summary!A8</f>
        <v>RPA-005</v>
      </c>
      <c r="B37" s="31" t="str">
        <f>Summary!B8</f>
        <v>Invoice Verifications and Processing</v>
      </c>
      <c r="C37" s="31" t="str">
        <f>Summary!C8</f>
        <v>Shared Services</v>
      </c>
      <c r="D37" s="31" t="str">
        <f>Summary!D8</f>
        <v>Bshaier</v>
      </c>
      <c r="E37" s="41">
        <f>Summary!E8</f>
        <v>100100</v>
      </c>
      <c r="F37" s="31" t="str">
        <f>Summary!F8</f>
        <v>HIGH</v>
      </c>
      <c r="G37" s="31" t="str">
        <f>Summary!G8</f>
        <v>Medium</v>
      </c>
      <c r="H37" s="31" t="str">
        <f>Summary!H8</f>
        <v>S5</v>
      </c>
      <c r="I37" s="31" t="str">
        <f>Summary!I8</f>
        <v>Assessed</v>
      </c>
      <c r="J37" s="42" t="s">
        <v>26</v>
      </c>
      <c r="K37" s="42">
        <f>IF(B37="","",Summary!Q8)</f>
        <v>1</v>
      </c>
      <c r="L37" s="43">
        <f>IF(M36="","",WORKDAY.INTL(M36,1,7))</f>
        <v>46288</v>
      </c>
      <c r="M37" s="43">
        <f t="shared" si="10"/>
        <v>46288</v>
      </c>
      <c r="N37" s="42" t="s">
        <v>178</v>
      </c>
      <c r="O37" s="44">
        <f t="shared" si="11"/>
        <v>0</v>
      </c>
      <c r="P37" s="42" t="s">
        <v>193</v>
      </c>
      <c r="Q37" s="42" t="s">
        <v>180</v>
      </c>
      <c r="R37" s="47"/>
      <c r="S37" s="47"/>
      <c r="T37" s="43"/>
      <c r="U37" s="43"/>
      <c r="V37" s="42">
        <f t="shared" ca="1" si="0"/>
        <v>0</v>
      </c>
      <c r="W37" s="42" t="str">
        <f t="shared" ca="1" si="1"/>
        <v>Green</v>
      </c>
      <c r="X37" s="42" t="s">
        <v>162</v>
      </c>
      <c r="Y37" s="42"/>
      <c r="Z37" s="42"/>
      <c r="AA37" s="43">
        <v>46236</v>
      </c>
      <c r="AB37" s="42" t="s">
        <v>169</v>
      </c>
    </row>
    <row r="38" spans="1:28" ht="28" customHeight="1">
      <c r="A38" s="31" t="str">
        <f>Summary!A8</f>
        <v>RPA-005</v>
      </c>
      <c r="B38" s="31" t="str">
        <f>Summary!B8</f>
        <v>Invoice Verifications and Processing</v>
      </c>
      <c r="C38" s="31" t="str">
        <f>Summary!C8</f>
        <v>Shared Services</v>
      </c>
      <c r="D38" s="31" t="str">
        <f>Summary!D8</f>
        <v>Bshaier</v>
      </c>
      <c r="E38" s="41">
        <f>Summary!E8</f>
        <v>100100</v>
      </c>
      <c r="F38" s="31" t="str">
        <f>Summary!F8</f>
        <v>HIGH</v>
      </c>
      <c r="G38" s="31" t="str">
        <f>Summary!G8</f>
        <v>Medium</v>
      </c>
      <c r="H38" s="31" t="str">
        <f>Summary!H8</f>
        <v>S5</v>
      </c>
      <c r="I38" s="31" t="str">
        <f>Summary!I8</f>
        <v>Assessed</v>
      </c>
      <c r="J38" s="42" t="s">
        <v>27</v>
      </c>
      <c r="K38" s="42">
        <f>IF(B38="","",Summary!R8)</f>
        <v>1</v>
      </c>
      <c r="L38" s="43">
        <f>IF(M37="","",WORKDAY.INTL(M37,1,7))</f>
        <v>46289</v>
      </c>
      <c r="M38" s="43">
        <f t="shared" si="10"/>
        <v>46289</v>
      </c>
      <c r="N38" s="42" t="s">
        <v>178</v>
      </c>
      <c r="O38" s="44">
        <f t="shared" si="11"/>
        <v>0</v>
      </c>
      <c r="P38" s="42" t="s">
        <v>183</v>
      </c>
      <c r="Q38" s="42" t="s">
        <v>175</v>
      </c>
      <c r="R38" s="47"/>
      <c r="S38" s="47"/>
      <c r="T38" s="43"/>
      <c r="U38" s="43"/>
      <c r="V38" s="42">
        <f t="shared" ca="1" si="0"/>
        <v>0</v>
      </c>
      <c r="W38" s="42" t="str">
        <f t="shared" ca="1" si="1"/>
        <v>Green</v>
      </c>
      <c r="X38" s="42" t="s">
        <v>162</v>
      </c>
      <c r="Y38" s="42"/>
      <c r="Z38" s="42"/>
      <c r="AA38" s="43">
        <v>46236</v>
      </c>
      <c r="AB38" s="42" t="s">
        <v>169</v>
      </c>
    </row>
    <row r="39" spans="1:28" ht="28" customHeight="1">
      <c r="A39" s="30" t="str">
        <f>Summary!A9</f>
        <v>RPA-006</v>
      </c>
      <c r="B39" s="30" t="str">
        <f>Summary!B9</f>
        <v>Sick Leave Requests</v>
      </c>
      <c r="C39" s="30" t="str">
        <f>Summary!C9</f>
        <v>HR</v>
      </c>
      <c r="D39" s="30" t="str">
        <f>Summary!D9</f>
        <v>Sultan N.Almunaykhir</v>
      </c>
      <c r="E39" s="38">
        <f>Summary!E9</f>
        <v>75833</v>
      </c>
      <c r="F39" s="30" t="str">
        <f>Summary!F9</f>
        <v>Low</v>
      </c>
      <c r="G39" s="30" t="str">
        <f>Summary!G9</f>
        <v>Medium</v>
      </c>
      <c r="H39" s="30" t="str">
        <f>Summary!H9</f>
        <v>S3</v>
      </c>
      <c r="I39" s="30" t="str">
        <f>Summary!I9</f>
        <v>Assessed</v>
      </c>
      <c r="J39" s="30" t="s">
        <v>161</v>
      </c>
      <c r="K39" s="30">
        <f>IF(B39="","",SUM(K40:K45))</f>
        <v>13</v>
      </c>
      <c r="L39" s="39">
        <f>IF(B39="","",L40)</f>
        <v>46247</v>
      </c>
      <c r="M39" s="39">
        <f>IF(B39="","",M45)</f>
        <v>46265</v>
      </c>
      <c r="N39" s="30" t="str">
        <f>IF(B39="","",IF(O39=100%,"Completed",IF(COUNTIF(N40:N45,"On Hold")&gt;0,"On Hold",IF(O39&gt;0%,"In Progress","Not Started"))))</f>
        <v>In Progress</v>
      </c>
      <c r="O39" s="44">
        <f>IF(B39="","",AVERAGE(O40:O45))</f>
        <v>0.41666666666666669</v>
      </c>
      <c r="P39" s="40" t="s">
        <v>90</v>
      </c>
      <c r="Q39" s="40"/>
      <c r="R39" s="46"/>
      <c r="S39" s="46"/>
      <c r="T39" s="40" t="str">
        <f>IF(COUNT(T40:T45)=0,"",MIN(T40:T45))</f>
        <v/>
      </c>
      <c r="U39" s="40" t="str">
        <f>IF(COUNT(U40:U45)=0,"",MAX(U40:U45))</f>
        <v/>
      </c>
      <c r="V39" s="40">
        <f t="shared" ca="1" si="0"/>
        <v>0</v>
      </c>
      <c r="W39" s="40" t="str">
        <f t="shared" ca="1" si="1"/>
        <v>Green</v>
      </c>
      <c r="X39" s="40" t="s">
        <v>162</v>
      </c>
      <c r="Y39" s="40"/>
      <c r="Z39" s="40"/>
      <c r="AA39" s="40">
        <v>46236</v>
      </c>
      <c r="AB39" s="40" t="s">
        <v>169</v>
      </c>
    </row>
    <row r="40" spans="1:28" ht="28" customHeight="1">
      <c r="A40" s="31" t="str">
        <f>Summary!A9</f>
        <v>RPA-006</v>
      </c>
      <c r="B40" s="31" t="str">
        <f>Summary!B9</f>
        <v>Sick Leave Requests</v>
      </c>
      <c r="C40" s="31" t="str">
        <f>Summary!C9</f>
        <v>HR</v>
      </c>
      <c r="D40" s="31" t="str">
        <f>Summary!D9</f>
        <v>Sultan N.Almunaykhir</v>
      </c>
      <c r="E40" s="41">
        <f>Summary!E9</f>
        <v>75833</v>
      </c>
      <c r="F40" s="31" t="str">
        <f>Summary!F9</f>
        <v>Low</v>
      </c>
      <c r="G40" s="31" t="str">
        <f>Summary!G9</f>
        <v>Medium</v>
      </c>
      <c r="H40" s="31" t="str">
        <f>Summary!H9</f>
        <v>S3</v>
      </c>
      <c r="I40" s="31" t="str">
        <f>Summary!I9</f>
        <v>Assessed</v>
      </c>
      <c r="J40" s="42" t="s">
        <v>18</v>
      </c>
      <c r="K40" s="42">
        <f>IF(B40="","",Summary!M9)</f>
        <v>1</v>
      </c>
      <c r="L40" s="43">
        <f>IF(Summary!$L9="","",Summary!$L9)</f>
        <v>46247</v>
      </c>
      <c r="M40" s="43">
        <f t="shared" ref="M40:M45" si="12">IF(OR(L40="",K40=""),"",WORKDAY.INTL(L40-1,K40,7))</f>
        <v>46247</v>
      </c>
      <c r="N40" s="42" t="s">
        <v>12</v>
      </c>
      <c r="O40" s="44">
        <f t="shared" ref="O40:O45" si="13">IF(B40="","",IF(N40="Completed",100%,IF(OR(N40="In Progress",N40="On Hold"),50%,0%)))</f>
        <v>1</v>
      </c>
      <c r="P40" s="42" t="s">
        <v>190</v>
      </c>
      <c r="Q40" s="42" t="s">
        <v>171</v>
      </c>
      <c r="R40" s="47"/>
      <c r="S40" s="47"/>
      <c r="T40" s="43"/>
      <c r="U40" s="43"/>
      <c r="V40" s="42">
        <f t="shared" ca="1" si="0"/>
        <v>0</v>
      </c>
      <c r="W40" s="42" t="str">
        <f t="shared" si="1"/>
        <v>Green</v>
      </c>
      <c r="X40" s="42" t="s">
        <v>162</v>
      </c>
      <c r="Y40" s="42"/>
      <c r="Z40" s="42"/>
      <c r="AA40" s="43">
        <v>46236</v>
      </c>
      <c r="AB40" s="42" t="s">
        <v>169</v>
      </c>
    </row>
    <row r="41" spans="1:28" ht="28" customHeight="1">
      <c r="A41" s="31" t="str">
        <f>Summary!A9</f>
        <v>RPA-006</v>
      </c>
      <c r="B41" s="31" t="str">
        <f>Summary!B9</f>
        <v>Sick Leave Requests</v>
      </c>
      <c r="C41" s="31" t="str">
        <f>Summary!C9</f>
        <v>HR</v>
      </c>
      <c r="D41" s="31" t="str">
        <f>Summary!D9</f>
        <v>Sultan N.Almunaykhir</v>
      </c>
      <c r="E41" s="41">
        <f>Summary!E9</f>
        <v>75833</v>
      </c>
      <c r="F41" s="31" t="str">
        <f>Summary!F9</f>
        <v>Low</v>
      </c>
      <c r="G41" s="31" t="str">
        <f>Summary!G9</f>
        <v>Medium</v>
      </c>
      <c r="H41" s="31" t="str">
        <f>Summary!H9</f>
        <v>S3</v>
      </c>
      <c r="I41" s="31" t="str">
        <f>Summary!I9</f>
        <v>Assessed</v>
      </c>
      <c r="J41" s="42" t="s">
        <v>20</v>
      </c>
      <c r="K41" s="42">
        <f>IF(B41="","",Summary!N9)</f>
        <v>1</v>
      </c>
      <c r="L41" s="43">
        <f>IF(M40="","",WORKDAY.INTL(M40,1,7))</f>
        <v>46250</v>
      </c>
      <c r="M41" s="43">
        <f t="shared" si="12"/>
        <v>46250</v>
      </c>
      <c r="N41" s="42" t="s">
        <v>12</v>
      </c>
      <c r="O41" s="44">
        <f t="shared" si="13"/>
        <v>1</v>
      </c>
      <c r="P41" s="42" t="s">
        <v>190</v>
      </c>
      <c r="Q41" s="42" t="s">
        <v>171</v>
      </c>
      <c r="R41" s="47"/>
      <c r="S41" s="47"/>
      <c r="T41" s="43"/>
      <c r="U41" s="43"/>
      <c r="V41" s="42">
        <f t="shared" ca="1" si="0"/>
        <v>0</v>
      </c>
      <c r="W41" s="42" t="str">
        <f t="shared" si="1"/>
        <v>Green</v>
      </c>
      <c r="X41" s="42" t="s">
        <v>162</v>
      </c>
      <c r="Y41" s="42"/>
      <c r="Z41" s="42"/>
      <c r="AA41" s="43">
        <v>46236</v>
      </c>
      <c r="AB41" s="42" t="s">
        <v>169</v>
      </c>
    </row>
    <row r="42" spans="1:28" ht="28" customHeight="1">
      <c r="A42" s="31" t="str">
        <f>Summary!A9</f>
        <v>RPA-006</v>
      </c>
      <c r="B42" s="31" t="str">
        <f>Summary!B9</f>
        <v>Sick Leave Requests</v>
      </c>
      <c r="C42" s="31" t="str">
        <f>Summary!C9</f>
        <v>HR</v>
      </c>
      <c r="D42" s="31" t="str">
        <f>Summary!D9</f>
        <v>Sultan N.Almunaykhir</v>
      </c>
      <c r="E42" s="41">
        <f>Summary!E9</f>
        <v>75833</v>
      </c>
      <c r="F42" s="31" t="str">
        <f>Summary!F9</f>
        <v>Low</v>
      </c>
      <c r="G42" s="31" t="str">
        <f>Summary!G9</f>
        <v>Medium</v>
      </c>
      <c r="H42" s="31" t="str">
        <f>Summary!H9</f>
        <v>S3</v>
      </c>
      <c r="I42" s="31" t="str">
        <f>Summary!I9</f>
        <v>Assessed</v>
      </c>
      <c r="J42" s="42" t="s">
        <v>22</v>
      </c>
      <c r="K42" s="42">
        <f>IF(B42="","",Summary!O9)</f>
        <v>1</v>
      </c>
      <c r="L42" s="43">
        <f>IF(M41="","",WORKDAY.INTL(M41,1,7))</f>
        <v>46251</v>
      </c>
      <c r="M42" s="43">
        <f t="shared" si="12"/>
        <v>46251</v>
      </c>
      <c r="N42" s="42" t="s">
        <v>173</v>
      </c>
      <c r="O42" s="44">
        <f t="shared" si="13"/>
        <v>0.5</v>
      </c>
      <c r="P42" s="42" t="s">
        <v>90</v>
      </c>
      <c r="Q42" s="42" t="s">
        <v>172</v>
      </c>
      <c r="R42" s="47" t="s">
        <v>194</v>
      </c>
      <c r="S42" s="47"/>
      <c r="T42" s="43"/>
      <c r="U42" s="43"/>
      <c r="V42" s="42">
        <f t="shared" ca="1" si="0"/>
        <v>0</v>
      </c>
      <c r="W42" s="42" t="str">
        <f t="shared" ca="1" si="1"/>
        <v>Green</v>
      </c>
      <c r="X42" s="42" t="s">
        <v>162</v>
      </c>
      <c r="Y42" s="42"/>
      <c r="Z42" s="42"/>
      <c r="AA42" s="43">
        <v>46236</v>
      </c>
      <c r="AB42" s="42" t="s">
        <v>169</v>
      </c>
    </row>
    <row r="43" spans="1:28" ht="28" customHeight="1">
      <c r="A43" s="31" t="str">
        <f>Summary!A9</f>
        <v>RPA-006</v>
      </c>
      <c r="B43" s="31" t="str">
        <f>Summary!B9</f>
        <v>Sick Leave Requests</v>
      </c>
      <c r="C43" s="31" t="str">
        <f>Summary!C9</f>
        <v>HR</v>
      </c>
      <c r="D43" s="31" t="str">
        <f>Summary!D9</f>
        <v>Sultan N.Almunaykhir</v>
      </c>
      <c r="E43" s="41">
        <f>Summary!E9</f>
        <v>75833</v>
      </c>
      <c r="F43" s="31" t="str">
        <f>Summary!F9</f>
        <v>Low</v>
      </c>
      <c r="G43" s="31" t="str">
        <f>Summary!G9</f>
        <v>Medium</v>
      </c>
      <c r="H43" s="31" t="str">
        <f>Summary!H9</f>
        <v>S3</v>
      </c>
      <c r="I43" s="31" t="str">
        <f>Summary!I9</f>
        <v>Assessed</v>
      </c>
      <c r="J43" s="42" t="s">
        <v>24</v>
      </c>
      <c r="K43" s="42">
        <f>IF(B43="","",Summary!P9)</f>
        <v>8</v>
      </c>
      <c r="L43" s="43">
        <f>IF(M42="","",WORKDAY.INTL(M42,1,7))</f>
        <v>46252</v>
      </c>
      <c r="M43" s="43">
        <f t="shared" si="12"/>
        <v>46261</v>
      </c>
      <c r="N43" s="42" t="s">
        <v>178</v>
      </c>
      <c r="O43" s="44">
        <f t="shared" si="13"/>
        <v>0</v>
      </c>
      <c r="P43" s="42" t="s">
        <v>174</v>
      </c>
      <c r="Q43" s="42" t="s">
        <v>175</v>
      </c>
      <c r="R43" s="47"/>
      <c r="S43" s="47"/>
      <c r="T43" s="43"/>
      <c r="U43" s="43"/>
      <c r="V43" s="42">
        <f t="shared" ca="1" si="0"/>
        <v>0</v>
      </c>
      <c r="W43" s="42" t="str">
        <f t="shared" ca="1" si="1"/>
        <v>Green</v>
      </c>
      <c r="X43" s="42" t="s">
        <v>162</v>
      </c>
      <c r="Y43" s="42"/>
      <c r="Z43" s="42"/>
      <c r="AA43" s="43">
        <v>46236</v>
      </c>
      <c r="AB43" s="42" t="s">
        <v>169</v>
      </c>
    </row>
    <row r="44" spans="1:28" ht="28" customHeight="1">
      <c r="A44" s="31" t="str">
        <f>Summary!A9</f>
        <v>RPA-006</v>
      </c>
      <c r="B44" s="31" t="str">
        <f>Summary!B9</f>
        <v>Sick Leave Requests</v>
      </c>
      <c r="C44" s="31" t="str">
        <f>Summary!C9</f>
        <v>HR</v>
      </c>
      <c r="D44" s="31" t="str">
        <f>Summary!D9</f>
        <v>Sultan N.Almunaykhir</v>
      </c>
      <c r="E44" s="41">
        <f>Summary!E9</f>
        <v>75833</v>
      </c>
      <c r="F44" s="31" t="str">
        <f>Summary!F9</f>
        <v>Low</v>
      </c>
      <c r="G44" s="31" t="str">
        <f>Summary!G9</f>
        <v>Medium</v>
      </c>
      <c r="H44" s="31" t="str">
        <f>Summary!H9</f>
        <v>S3</v>
      </c>
      <c r="I44" s="31" t="str">
        <f>Summary!I9</f>
        <v>Assessed</v>
      </c>
      <c r="J44" s="42" t="s">
        <v>26</v>
      </c>
      <c r="K44" s="42">
        <f>IF(B44="","",Summary!Q9)</f>
        <v>1</v>
      </c>
      <c r="L44" s="43">
        <f>IF(M43="","",WORKDAY.INTL(M43,1,7))</f>
        <v>46264</v>
      </c>
      <c r="M44" s="43">
        <f t="shared" si="12"/>
        <v>46264</v>
      </c>
      <c r="N44" s="42" t="s">
        <v>178</v>
      </c>
      <c r="O44" s="44">
        <f t="shared" si="13"/>
        <v>0</v>
      </c>
      <c r="P44" s="42" t="s">
        <v>195</v>
      </c>
      <c r="Q44" s="42" t="s">
        <v>180</v>
      </c>
      <c r="R44" s="47"/>
      <c r="S44" s="47"/>
      <c r="T44" s="43"/>
      <c r="U44" s="43"/>
      <c r="V44" s="42">
        <f t="shared" ca="1" si="0"/>
        <v>0</v>
      </c>
      <c r="W44" s="42" t="str">
        <f t="shared" ca="1" si="1"/>
        <v>Green</v>
      </c>
      <c r="X44" s="42" t="s">
        <v>162</v>
      </c>
      <c r="Y44" s="42"/>
      <c r="Z44" s="42"/>
      <c r="AA44" s="43">
        <v>46236</v>
      </c>
      <c r="AB44" s="42" t="s">
        <v>169</v>
      </c>
    </row>
    <row r="45" spans="1:28" ht="28" customHeight="1">
      <c r="A45" s="31" t="str">
        <f>Summary!A9</f>
        <v>RPA-006</v>
      </c>
      <c r="B45" s="31" t="str">
        <f>Summary!B9</f>
        <v>Sick Leave Requests</v>
      </c>
      <c r="C45" s="31" t="str">
        <f>Summary!C9</f>
        <v>HR</v>
      </c>
      <c r="D45" s="31" t="str">
        <f>Summary!D9</f>
        <v>Sultan N.Almunaykhir</v>
      </c>
      <c r="E45" s="41">
        <f>Summary!E9</f>
        <v>75833</v>
      </c>
      <c r="F45" s="31" t="str">
        <f>Summary!F9</f>
        <v>Low</v>
      </c>
      <c r="G45" s="31" t="str">
        <f>Summary!G9</f>
        <v>Medium</v>
      </c>
      <c r="H45" s="31" t="str">
        <f>Summary!H9</f>
        <v>S3</v>
      </c>
      <c r="I45" s="31" t="str">
        <f>Summary!I9</f>
        <v>Assessed</v>
      </c>
      <c r="J45" s="42" t="s">
        <v>27</v>
      </c>
      <c r="K45" s="42">
        <f>IF(B45="","",Summary!R9)</f>
        <v>1</v>
      </c>
      <c r="L45" s="43">
        <f>IF(M44="","",WORKDAY.INTL(M44,1,7))</f>
        <v>46265</v>
      </c>
      <c r="M45" s="43">
        <f t="shared" si="12"/>
        <v>46265</v>
      </c>
      <c r="N45" s="42" t="s">
        <v>178</v>
      </c>
      <c r="O45" s="44">
        <f t="shared" si="13"/>
        <v>0</v>
      </c>
      <c r="P45" s="42" t="s">
        <v>174</v>
      </c>
      <c r="Q45" s="42" t="s">
        <v>175</v>
      </c>
      <c r="R45" s="47"/>
      <c r="S45" s="47"/>
      <c r="T45" s="43"/>
      <c r="U45" s="43"/>
      <c r="V45" s="42">
        <f t="shared" ca="1" si="0"/>
        <v>0</v>
      </c>
      <c r="W45" s="42" t="str">
        <f t="shared" ca="1" si="1"/>
        <v>Green</v>
      </c>
      <c r="X45" s="42" t="s">
        <v>162</v>
      </c>
      <c r="Y45" s="42"/>
      <c r="Z45" s="42"/>
      <c r="AA45" s="43">
        <v>46236</v>
      </c>
      <c r="AB45" s="42" t="s">
        <v>169</v>
      </c>
    </row>
    <row r="46" spans="1:28" ht="28" customHeight="1">
      <c r="A46" s="30" t="str">
        <f>Summary!A10</f>
        <v>RPA-007</v>
      </c>
      <c r="B46" s="30" t="str">
        <f>Summary!B10</f>
        <v>Non-Aero Invoicing Commercial Posting</v>
      </c>
      <c r="C46" s="30" t="str">
        <f>Summary!C10</f>
        <v>Finance</v>
      </c>
      <c r="D46" s="30" t="str">
        <f>Summary!D10</f>
        <v>Sarah M. Alshaikh Mubarak</v>
      </c>
      <c r="E46" s="38">
        <f>Summary!E10</f>
        <v>72800</v>
      </c>
      <c r="F46" s="30" t="str">
        <f>Summary!F10</f>
        <v>HIGH</v>
      </c>
      <c r="G46" s="30" t="str">
        <f>Summary!G10</f>
        <v>Medium</v>
      </c>
      <c r="H46" s="30" t="str">
        <f>Summary!H10</f>
        <v>S1</v>
      </c>
      <c r="I46" s="30" t="str">
        <f>Summary!I10</f>
        <v>Assessed</v>
      </c>
      <c r="J46" s="30" t="s">
        <v>161</v>
      </c>
      <c r="K46" s="30">
        <f>IF(B46="","",SUM(K47:K52))</f>
        <v>21</v>
      </c>
      <c r="L46" s="39">
        <f>IF(B46="","",L47)</f>
        <v>46258</v>
      </c>
      <c r="M46" s="39">
        <f>IF(B46="","",M52)</f>
        <v>46286</v>
      </c>
      <c r="N46" s="30" t="str">
        <f>IF(B46="","",IF(O46=100%,"Completed",IF(COUNTIF(N47:N52,"On Hold")&gt;0,"On Hold",IF(O46&gt;0%,"In Progress","Not Started"))))</f>
        <v>In Progress</v>
      </c>
      <c r="O46" s="44">
        <f>IF(B46="","",AVERAGE(O47:O52))</f>
        <v>0.25</v>
      </c>
      <c r="P46" s="40" t="s">
        <v>81</v>
      </c>
      <c r="Q46" s="40"/>
      <c r="R46" s="46"/>
      <c r="S46" s="46"/>
      <c r="T46" s="40" t="str">
        <f>IF(COUNT(T47:T52)=0,"",MIN(T47:T52))</f>
        <v/>
      </c>
      <c r="U46" s="40" t="str">
        <f>IF(COUNT(U47:U52)=0,"",MAX(U47:U52))</f>
        <v/>
      </c>
      <c r="V46" s="40">
        <f t="shared" ca="1" si="0"/>
        <v>0</v>
      </c>
      <c r="W46" s="40" t="str">
        <f t="shared" ca="1" si="1"/>
        <v>Green</v>
      </c>
      <c r="X46" s="40" t="s">
        <v>162</v>
      </c>
      <c r="Y46" s="40"/>
      <c r="Z46" s="40"/>
      <c r="AA46" s="40">
        <v>46236</v>
      </c>
      <c r="AB46" s="40" t="s">
        <v>169</v>
      </c>
    </row>
    <row r="47" spans="1:28" ht="28" customHeight="1">
      <c r="A47" s="31" t="str">
        <f>Summary!A10</f>
        <v>RPA-007</v>
      </c>
      <c r="B47" s="31" t="str">
        <f>Summary!B10</f>
        <v>Non-Aero Invoicing Commercial Posting</v>
      </c>
      <c r="C47" s="31" t="str">
        <f>Summary!C10</f>
        <v>Finance</v>
      </c>
      <c r="D47" s="31" t="str">
        <f>Summary!D10</f>
        <v>Sarah M. Alshaikh Mubarak</v>
      </c>
      <c r="E47" s="41">
        <f>Summary!E10</f>
        <v>72800</v>
      </c>
      <c r="F47" s="31" t="str">
        <f>Summary!F10</f>
        <v>HIGH</v>
      </c>
      <c r="G47" s="31" t="str">
        <f>Summary!G10</f>
        <v>Medium</v>
      </c>
      <c r="H47" s="31" t="str">
        <f>Summary!H10</f>
        <v>S1</v>
      </c>
      <c r="I47" s="31" t="str">
        <f>Summary!I10</f>
        <v>Assessed</v>
      </c>
      <c r="J47" s="42" t="s">
        <v>18</v>
      </c>
      <c r="K47" s="42">
        <f>IF(B47="","",Summary!M10)</f>
        <v>1</v>
      </c>
      <c r="L47" s="43">
        <f>IF(Summary!$L10="","",Summary!$L10)</f>
        <v>46258</v>
      </c>
      <c r="M47" s="43">
        <f t="shared" ref="M47:M52" si="14">IF(OR(L47="",K47=""),"",WORKDAY.INTL(L47-1,K47,7))</f>
        <v>46258</v>
      </c>
      <c r="N47" s="42" t="s">
        <v>12</v>
      </c>
      <c r="O47" s="44">
        <f t="shared" ref="O47:O52" si="15">IF(B47="","",IF(N47="Completed",100%,IF(OR(N47="In Progress",N47="On Hold"),50%,0%)))</f>
        <v>1</v>
      </c>
      <c r="P47" s="42" t="s">
        <v>170</v>
      </c>
      <c r="Q47" s="42" t="s">
        <v>171</v>
      </c>
      <c r="R47" s="47"/>
      <c r="S47" s="47"/>
      <c r="T47" s="43"/>
      <c r="U47" s="43"/>
      <c r="V47" s="42">
        <f t="shared" ca="1" si="0"/>
        <v>0</v>
      </c>
      <c r="W47" s="42" t="str">
        <f t="shared" si="1"/>
        <v>Green</v>
      </c>
      <c r="X47" s="42" t="s">
        <v>162</v>
      </c>
      <c r="Y47" s="42"/>
      <c r="Z47" s="42"/>
      <c r="AA47" s="43">
        <v>46236</v>
      </c>
      <c r="AB47" s="42" t="s">
        <v>169</v>
      </c>
    </row>
    <row r="48" spans="1:28" ht="28" customHeight="1">
      <c r="A48" s="31" t="str">
        <f>Summary!A10</f>
        <v>RPA-007</v>
      </c>
      <c r="B48" s="31" t="str">
        <f>Summary!B10</f>
        <v>Non-Aero Invoicing Commercial Posting</v>
      </c>
      <c r="C48" s="31" t="str">
        <f>Summary!C10</f>
        <v>Finance</v>
      </c>
      <c r="D48" s="31" t="str">
        <f>Summary!D10</f>
        <v>Sarah M. Alshaikh Mubarak</v>
      </c>
      <c r="E48" s="41">
        <f>Summary!E10</f>
        <v>72800</v>
      </c>
      <c r="F48" s="31" t="str">
        <f>Summary!F10</f>
        <v>HIGH</v>
      </c>
      <c r="G48" s="31" t="str">
        <f>Summary!G10</f>
        <v>Medium</v>
      </c>
      <c r="H48" s="31" t="str">
        <f>Summary!H10</f>
        <v>S1</v>
      </c>
      <c r="I48" s="31" t="str">
        <f>Summary!I10</f>
        <v>Assessed</v>
      </c>
      <c r="J48" s="42" t="s">
        <v>20</v>
      </c>
      <c r="K48" s="42">
        <f>IF(B48="","",Summary!N10)</f>
        <v>1</v>
      </c>
      <c r="L48" s="43">
        <f>IF(M47="","",WORKDAY.INTL(M47,1,7))</f>
        <v>46259</v>
      </c>
      <c r="M48" s="43">
        <f t="shared" si="14"/>
        <v>46259</v>
      </c>
      <c r="N48" s="42" t="s">
        <v>173</v>
      </c>
      <c r="O48" s="44">
        <f t="shared" si="15"/>
        <v>0.5</v>
      </c>
      <c r="P48" s="42" t="s">
        <v>170</v>
      </c>
      <c r="Q48" s="42" t="s">
        <v>171</v>
      </c>
      <c r="R48" s="47"/>
      <c r="S48" s="47"/>
      <c r="T48" s="43"/>
      <c r="U48" s="43"/>
      <c r="V48" s="42">
        <f t="shared" ca="1" si="0"/>
        <v>0</v>
      </c>
      <c r="W48" s="42" t="str">
        <f t="shared" ca="1" si="1"/>
        <v>Green</v>
      </c>
      <c r="X48" s="42" t="s">
        <v>162</v>
      </c>
      <c r="Y48" s="42"/>
      <c r="Z48" s="42"/>
      <c r="AA48" s="43">
        <v>46236</v>
      </c>
      <c r="AB48" s="42" t="s">
        <v>169</v>
      </c>
    </row>
    <row r="49" spans="1:28" ht="28" customHeight="1">
      <c r="A49" s="31" t="str">
        <f>Summary!A10</f>
        <v>RPA-007</v>
      </c>
      <c r="B49" s="31" t="str">
        <f>Summary!B10</f>
        <v>Non-Aero Invoicing Commercial Posting</v>
      </c>
      <c r="C49" s="31" t="str">
        <f>Summary!C10</f>
        <v>Finance</v>
      </c>
      <c r="D49" s="31" t="str">
        <f>Summary!D10</f>
        <v>Sarah M. Alshaikh Mubarak</v>
      </c>
      <c r="E49" s="41">
        <f>Summary!E10</f>
        <v>72800</v>
      </c>
      <c r="F49" s="31" t="str">
        <f>Summary!F10</f>
        <v>HIGH</v>
      </c>
      <c r="G49" s="31" t="str">
        <f>Summary!G10</f>
        <v>Medium</v>
      </c>
      <c r="H49" s="31" t="str">
        <f>Summary!H10</f>
        <v>S1</v>
      </c>
      <c r="I49" s="31" t="str">
        <f>Summary!I10</f>
        <v>Assessed</v>
      </c>
      <c r="J49" s="42" t="s">
        <v>22</v>
      </c>
      <c r="K49" s="42">
        <f>IF(B49="","",Summary!O10)</f>
        <v>1</v>
      </c>
      <c r="L49" s="43">
        <f>IF(M48="","",WORKDAY.INTL(M48,1,7))</f>
        <v>46260</v>
      </c>
      <c r="M49" s="43">
        <f t="shared" si="14"/>
        <v>46260</v>
      </c>
      <c r="N49" s="42" t="s">
        <v>178</v>
      </c>
      <c r="O49" s="44">
        <f t="shared" si="15"/>
        <v>0</v>
      </c>
      <c r="P49" s="42" t="s">
        <v>81</v>
      </c>
      <c r="Q49" s="42" t="s">
        <v>172</v>
      </c>
      <c r="R49" s="47"/>
      <c r="S49" s="47"/>
      <c r="T49" s="43"/>
      <c r="U49" s="43"/>
      <c r="V49" s="42">
        <f t="shared" ca="1" si="0"/>
        <v>0</v>
      </c>
      <c r="W49" s="42" t="str">
        <f t="shared" ca="1" si="1"/>
        <v>Green</v>
      </c>
      <c r="X49" s="42" t="s">
        <v>162</v>
      </c>
      <c r="Y49" s="42"/>
      <c r="Z49" s="42"/>
      <c r="AA49" s="43">
        <v>46236</v>
      </c>
      <c r="AB49" s="42" t="s">
        <v>169</v>
      </c>
    </row>
    <row r="50" spans="1:28" ht="28" customHeight="1">
      <c r="A50" s="31" t="str">
        <f>Summary!A10</f>
        <v>RPA-007</v>
      </c>
      <c r="B50" s="31" t="str">
        <f>Summary!B10</f>
        <v>Non-Aero Invoicing Commercial Posting</v>
      </c>
      <c r="C50" s="31" t="str">
        <f>Summary!C10</f>
        <v>Finance</v>
      </c>
      <c r="D50" s="31" t="str">
        <f>Summary!D10</f>
        <v>Sarah M. Alshaikh Mubarak</v>
      </c>
      <c r="E50" s="41">
        <f>Summary!E10</f>
        <v>72800</v>
      </c>
      <c r="F50" s="31" t="str">
        <f>Summary!F10</f>
        <v>HIGH</v>
      </c>
      <c r="G50" s="31" t="str">
        <f>Summary!G10</f>
        <v>Medium</v>
      </c>
      <c r="H50" s="31" t="str">
        <f>Summary!H10</f>
        <v>S1</v>
      </c>
      <c r="I50" s="31" t="str">
        <f>Summary!I10</f>
        <v>Assessed</v>
      </c>
      <c r="J50" s="42" t="s">
        <v>24</v>
      </c>
      <c r="K50" s="42">
        <f>IF(B50="","",Summary!P10)</f>
        <v>16</v>
      </c>
      <c r="L50" s="43">
        <f>IF(M49="","",WORKDAY.INTL(M49,1,7))</f>
        <v>46261</v>
      </c>
      <c r="M50" s="43">
        <f t="shared" si="14"/>
        <v>46282</v>
      </c>
      <c r="N50" s="42" t="s">
        <v>178</v>
      </c>
      <c r="O50" s="44">
        <f t="shared" si="15"/>
        <v>0</v>
      </c>
      <c r="P50" s="42" t="s">
        <v>191</v>
      </c>
      <c r="Q50" s="42" t="s">
        <v>175</v>
      </c>
      <c r="R50" s="47"/>
      <c r="S50" s="47"/>
      <c r="T50" s="43"/>
      <c r="U50" s="43"/>
      <c r="V50" s="42">
        <f t="shared" ca="1" si="0"/>
        <v>0</v>
      </c>
      <c r="W50" s="42" t="str">
        <f t="shared" ca="1" si="1"/>
        <v>Green</v>
      </c>
      <c r="X50" s="42" t="s">
        <v>162</v>
      </c>
      <c r="Y50" s="42"/>
      <c r="Z50" s="42"/>
      <c r="AA50" s="43">
        <v>46236</v>
      </c>
      <c r="AB50" s="42" t="s">
        <v>169</v>
      </c>
    </row>
    <row r="51" spans="1:28" ht="28" customHeight="1">
      <c r="A51" s="31" t="str">
        <f>Summary!A10</f>
        <v>RPA-007</v>
      </c>
      <c r="B51" s="31" t="str">
        <f>Summary!B10</f>
        <v>Non-Aero Invoicing Commercial Posting</v>
      </c>
      <c r="C51" s="31" t="str">
        <f>Summary!C10</f>
        <v>Finance</v>
      </c>
      <c r="D51" s="31" t="str">
        <f>Summary!D10</f>
        <v>Sarah M. Alshaikh Mubarak</v>
      </c>
      <c r="E51" s="41">
        <f>Summary!E10</f>
        <v>72800</v>
      </c>
      <c r="F51" s="31" t="str">
        <f>Summary!F10</f>
        <v>HIGH</v>
      </c>
      <c r="G51" s="31" t="str">
        <f>Summary!G10</f>
        <v>Medium</v>
      </c>
      <c r="H51" s="31" t="str">
        <f>Summary!H10</f>
        <v>S1</v>
      </c>
      <c r="I51" s="31" t="str">
        <f>Summary!I10</f>
        <v>Assessed</v>
      </c>
      <c r="J51" s="42" t="s">
        <v>26</v>
      </c>
      <c r="K51" s="42">
        <f>IF(B51="","",Summary!Q10)</f>
        <v>1</v>
      </c>
      <c r="L51" s="43">
        <f>IF(M50="","",WORKDAY.INTL(M50,1,7))</f>
        <v>46285</v>
      </c>
      <c r="M51" s="43">
        <f t="shared" si="14"/>
        <v>46285</v>
      </c>
      <c r="N51" s="42" t="s">
        <v>178</v>
      </c>
      <c r="O51" s="44">
        <f t="shared" si="15"/>
        <v>0</v>
      </c>
      <c r="P51" s="42" t="s">
        <v>192</v>
      </c>
      <c r="Q51" s="42" t="s">
        <v>180</v>
      </c>
      <c r="R51" s="47"/>
      <c r="S51" s="47"/>
      <c r="T51" s="43"/>
      <c r="U51" s="43"/>
      <c r="V51" s="42">
        <f t="shared" ca="1" si="0"/>
        <v>0</v>
      </c>
      <c r="W51" s="42" t="str">
        <f t="shared" ca="1" si="1"/>
        <v>Green</v>
      </c>
      <c r="X51" s="42" t="s">
        <v>162</v>
      </c>
      <c r="Y51" s="42"/>
      <c r="Z51" s="42"/>
      <c r="AA51" s="43">
        <v>46236</v>
      </c>
      <c r="AB51" s="42" t="s">
        <v>169</v>
      </c>
    </row>
    <row r="52" spans="1:28" ht="28" customHeight="1">
      <c r="A52" s="31" t="str">
        <f>Summary!A10</f>
        <v>RPA-007</v>
      </c>
      <c r="B52" s="31" t="str">
        <f>Summary!B10</f>
        <v>Non-Aero Invoicing Commercial Posting</v>
      </c>
      <c r="C52" s="31" t="str">
        <f>Summary!C10</f>
        <v>Finance</v>
      </c>
      <c r="D52" s="31" t="str">
        <f>Summary!D10</f>
        <v>Sarah M. Alshaikh Mubarak</v>
      </c>
      <c r="E52" s="41">
        <f>Summary!E10</f>
        <v>72800</v>
      </c>
      <c r="F52" s="31" t="str">
        <f>Summary!F10</f>
        <v>HIGH</v>
      </c>
      <c r="G52" s="31" t="str">
        <f>Summary!G10</f>
        <v>Medium</v>
      </c>
      <c r="H52" s="31" t="str">
        <f>Summary!H10</f>
        <v>S1</v>
      </c>
      <c r="I52" s="31" t="str">
        <f>Summary!I10</f>
        <v>Assessed</v>
      </c>
      <c r="J52" s="42" t="s">
        <v>27</v>
      </c>
      <c r="K52" s="42">
        <f>IF(B52="","",Summary!R10)</f>
        <v>1</v>
      </c>
      <c r="L52" s="43">
        <f>IF(M51="","",WORKDAY.INTL(M51,1,7))</f>
        <v>46286</v>
      </c>
      <c r="M52" s="43">
        <f t="shared" si="14"/>
        <v>46286</v>
      </c>
      <c r="N52" s="42" t="s">
        <v>178</v>
      </c>
      <c r="O52" s="44">
        <f t="shared" si="15"/>
        <v>0</v>
      </c>
      <c r="P52" s="42" t="s">
        <v>191</v>
      </c>
      <c r="Q52" s="42" t="s">
        <v>175</v>
      </c>
      <c r="R52" s="47"/>
      <c r="S52" s="47"/>
      <c r="T52" s="43"/>
      <c r="U52" s="43"/>
      <c r="V52" s="42">
        <f t="shared" ca="1" si="0"/>
        <v>0</v>
      </c>
      <c r="W52" s="42" t="str">
        <f t="shared" ca="1" si="1"/>
        <v>Green</v>
      </c>
      <c r="X52" s="42" t="s">
        <v>162</v>
      </c>
      <c r="Y52" s="42"/>
      <c r="Z52" s="42"/>
      <c r="AA52" s="43">
        <v>46236</v>
      </c>
      <c r="AB52" s="42" t="s">
        <v>169</v>
      </c>
    </row>
    <row r="53" spans="1:28" ht="28" customHeight="1">
      <c r="A53" s="30" t="str">
        <f>Summary!A11</f>
        <v>RPA-008</v>
      </c>
      <c r="B53" s="30" t="str">
        <f>Summary!B11</f>
        <v>Capitalize Assets on SAP</v>
      </c>
      <c r="C53" s="30" t="str">
        <f>Summary!C11</f>
        <v>Finance</v>
      </c>
      <c r="D53" s="30" t="str">
        <f>Summary!D11</f>
        <v>Sarah M. Alshaikh Mubarak</v>
      </c>
      <c r="E53" s="38">
        <f>Summary!E11</f>
        <v>72800</v>
      </c>
      <c r="F53" s="30" t="str">
        <f>Summary!F11</f>
        <v>HIGH</v>
      </c>
      <c r="G53" s="30" t="str">
        <f>Summary!G11</f>
        <v>Medium</v>
      </c>
      <c r="H53" s="30" t="str">
        <f>Summary!H11</f>
        <v>S4</v>
      </c>
      <c r="I53" s="30" t="str">
        <f>Summary!I11</f>
        <v>Assessed</v>
      </c>
      <c r="J53" s="30" t="s">
        <v>161</v>
      </c>
      <c r="K53" s="30">
        <f>IF(B53="","",SUM(K54:K59))</f>
        <v>16</v>
      </c>
      <c r="L53" s="39">
        <f>IF(B53="","",L54)</f>
        <v>46303</v>
      </c>
      <c r="M53" s="39">
        <f>IF(B53="","",M59)</f>
        <v>46324</v>
      </c>
      <c r="N53" s="30" t="str">
        <f>IF(B53="","",IF(O53=100%,"Completed",IF(COUNTIF(N54:N59,"On Hold")&gt;0,"On Hold",IF(O53&gt;0%,"In Progress","Not Started"))))</f>
        <v>In Progress</v>
      </c>
      <c r="O53" s="44">
        <f>IF(B53="","",AVERAGE(O54:O59))</f>
        <v>0.25</v>
      </c>
      <c r="P53" s="40" t="s">
        <v>81</v>
      </c>
      <c r="Q53" s="40"/>
      <c r="R53" s="46"/>
      <c r="S53" s="46"/>
      <c r="T53" s="40" t="str">
        <f>IF(COUNT(T54:T59)=0,"",MIN(T54:T59))</f>
        <v/>
      </c>
      <c r="U53" s="40" t="str">
        <f>IF(COUNT(U54:U59)=0,"",MAX(U54:U59))</f>
        <v/>
      </c>
      <c r="V53" s="40">
        <f t="shared" ca="1" si="0"/>
        <v>0</v>
      </c>
      <c r="W53" s="40" t="str">
        <f t="shared" ca="1" si="1"/>
        <v>Green</v>
      </c>
      <c r="X53" s="40" t="s">
        <v>162</v>
      </c>
      <c r="Y53" s="40"/>
      <c r="Z53" s="40"/>
      <c r="AA53" s="40">
        <v>46236</v>
      </c>
      <c r="AB53" s="40" t="s">
        <v>169</v>
      </c>
    </row>
    <row r="54" spans="1:28" ht="28" customHeight="1">
      <c r="A54" s="31" t="str">
        <f>Summary!A11</f>
        <v>RPA-008</v>
      </c>
      <c r="B54" s="31" t="str">
        <f>Summary!B11</f>
        <v>Capitalize Assets on SAP</v>
      </c>
      <c r="C54" s="31" t="str">
        <f>Summary!C11</f>
        <v>Finance</v>
      </c>
      <c r="D54" s="31" t="str">
        <f>Summary!D11</f>
        <v>Sarah M. Alshaikh Mubarak</v>
      </c>
      <c r="E54" s="41">
        <f>Summary!E11</f>
        <v>72800</v>
      </c>
      <c r="F54" s="31" t="str">
        <f>Summary!F11</f>
        <v>HIGH</v>
      </c>
      <c r="G54" s="31" t="str">
        <f>Summary!G11</f>
        <v>Medium</v>
      </c>
      <c r="H54" s="31" t="str">
        <f>Summary!H11</f>
        <v>S4</v>
      </c>
      <c r="I54" s="31" t="str">
        <f>Summary!I11</f>
        <v>Assessed</v>
      </c>
      <c r="J54" s="42" t="s">
        <v>18</v>
      </c>
      <c r="K54" s="42">
        <f>IF(B54="","",Summary!M11)</f>
        <v>1</v>
      </c>
      <c r="L54" s="43">
        <f>IF(Summary!$L11="","",Summary!$L11)</f>
        <v>46303</v>
      </c>
      <c r="M54" s="43">
        <f t="shared" ref="M54:M59" si="16">IF(OR(L54="",K54=""),"",WORKDAY.INTL(L54-1,K54,7))</f>
        <v>46303</v>
      </c>
      <c r="N54" s="42" t="s">
        <v>12</v>
      </c>
      <c r="O54" s="44">
        <f t="shared" ref="O54:O59" si="17">IF(B54="","",IF(N54="Completed",100%,IF(OR(N54="In Progress",N54="On Hold"),50%,0%)))</f>
        <v>1</v>
      </c>
      <c r="P54" s="42" t="s">
        <v>185</v>
      </c>
      <c r="Q54" s="42" t="s">
        <v>171</v>
      </c>
      <c r="R54" s="47"/>
      <c r="S54" s="47"/>
      <c r="T54" s="43"/>
      <c r="U54" s="43"/>
      <c r="V54" s="42">
        <f t="shared" ca="1" si="0"/>
        <v>0</v>
      </c>
      <c r="W54" s="42" t="str">
        <f t="shared" si="1"/>
        <v>Green</v>
      </c>
      <c r="X54" s="42" t="s">
        <v>162</v>
      </c>
      <c r="Y54" s="42"/>
      <c r="Z54" s="42"/>
      <c r="AA54" s="43">
        <v>46236</v>
      </c>
      <c r="AB54" s="42" t="s">
        <v>169</v>
      </c>
    </row>
    <row r="55" spans="1:28" ht="28" customHeight="1">
      <c r="A55" s="31" t="str">
        <f>Summary!A11</f>
        <v>RPA-008</v>
      </c>
      <c r="B55" s="31" t="str">
        <f>Summary!B11</f>
        <v>Capitalize Assets on SAP</v>
      </c>
      <c r="C55" s="31" t="str">
        <f>Summary!C11</f>
        <v>Finance</v>
      </c>
      <c r="D55" s="31" t="str">
        <f>Summary!D11</f>
        <v>Sarah M. Alshaikh Mubarak</v>
      </c>
      <c r="E55" s="41">
        <f>Summary!E11</f>
        <v>72800</v>
      </c>
      <c r="F55" s="31" t="str">
        <f>Summary!F11</f>
        <v>HIGH</v>
      </c>
      <c r="G55" s="31" t="str">
        <f>Summary!G11</f>
        <v>Medium</v>
      </c>
      <c r="H55" s="31" t="str">
        <f>Summary!H11</f>
        <v>S4</v>
      </c>
      <c r="I55" s="31" t="str">
        <f>Summary!I11</f>
        <v>Assessed</v>
      </c>
      <c r="J55" s="42" t="s">
        <v>20</v>
      </c>
      <c r="K55" s="42">
        <f>IF(B55="","",Summary!N11)</f>
        <v>1</v>
      </c>
      <c r="L55" s="43">
        <f>IF(M54="","",WORKDAY.INTL(M54,1,7))</f>
        <v>46306</v>
      </c>
      <c r="M55" s="43">
        <f t="shared" si="16"/>
        <v>46306</v>
      </c>
      <c r="N55" s="42" t="s">
        <v>173</v>
      </c>
      <c r="O55" s="44">
        <f t="shared" si="17"/>
        <v>0.5</v>
      </c>
      <c r="P55" s="42" t="s">
        <v>185</v>
      </c>
      <c r="Q55" s="42" t="s">
        <v>171</v>
      </c>
      <c r="R55" s="47"/>
      <c r="S55" s="47"/>
      <c r="T55" s="43"/>
      <c r="U55" s="43"/>
      <c r="V55" s="42">
        <f t="shared" ca="1" si="0"/>
        <v>0</v>
      </c>
      <c r="W55" s="42" t="str">
        <f t="shared" ca="1" si="1"/>
        <v>Green</v>
      </c>
      <c r="X55" s="42" t="s">
        <v>162</v>
      </c>
      <c r="Y55" s="42"/>
      <c r="Z55" s="42"/>
      <c r="AA55" s="43">
        <v>46236</v>
      </c>
      <c r="AB55" s="42" t="s">
        <v>169</v>
      </c>
    </row>
    <row r="56" spans="1:28" ht="28" customHeight="1">
      <c r="A56" s="31" t="str">
        <f>Summary!A11</f>
        <v>RPA-008</v>
      </c>
      <c r="B56" s="31" t="str">
        <f>Summary!B11</f>
        <v>Capitalize Assets on SAP</v>
      </c>
      <c r="C56" s="31" t="str">
        <f>Summary!C11</f>
        <v>Finance</v>
      </c>
      <c r="D56" s="31" t="str">
        <f>Summary!D11</f>
        <v>Sarah M. Alshaikh Mubarak</v>
      </c>
      <c r="E56" s="41">
        <f>Summary!E11</f>
        <v>72800</v>
      </c>
      <c r="F56" s="31" t="str">
        <f>Summary!F11</f>
        <v>HIGH</v>
      </c>
      <c r="G56" s="31" t="str">
        <f>Summary!G11</f>
        <v>Medium</v>
      </c>
      <c r="H56" s="31" t="str">
        <f>Summary!H11</f>
        <v>S4</v>
      </c>
      <c r="I56" s="31" t="str">
        <f>Summary!I11</f>
        <v>Assessed</v>
      </c>
      <c r="J56" s="42" t="s">
        <v>22</v>
      </c>
      <c r="K56" s="42">
        <f>IF(B56="","",Summary!O11)</f>
        <v>1</v>
      </c>
      <c r="L56" s="43">
        <f>IF(M55="","",WORKDAY.INTL(M55,1,7))</f>
        <v>46307</v>
      </c>
      <c r="M56" s="43">
        <f t="shared" si="16"/>
        <v>46307</v>
      </c>
      <c r="N56" s="42" t="s">
        <v>178</v>
      </c>
      <c r="O56" s="44">
        <f t="shared" si="17"/>
        <v>0</v>
      </c>
      <c r="P56" s="42" t="s">
        <v>81</v>
      </c>
      <c r="Q56" s="42" t="s">
        <v>172</v>
      </c>
      <c r="R56" s="47"/>
      <c r="S56" s="47"/>
      <c r="T56" s="43"/>
      <c r="U56" s="43"/>
      <c r="V56" s="42">
        <f t="shared" ca="1" si="0"/>
        <v>0</v>
      </c>
      <c r="W56" s="42" t="str">
        <f t="shared" ca="1" si="1"/>
        <v>Green</v>
      </c>
      <c r="X56" s="42" t="s">
        <v>162</v>
      </c>
      <c r="Y56" s="42"/>
      <c r="Z56" s="42"/>
      <c r="AA56" s="43">
        <v>46236</v>
      </c>
      <c r="AB56" s="42" t="s">
        <v>169</v>
      </c>
    </row>
    <row r="57" spans="1:28" ht="28" customHeight="1">
      <c r="A57" s="31" t="str">
        <f>Summary!A11</f>
        <v>RPA-008</v>
      </c>
      <c r="B57" s="31" t="str">
        <f>Summary!B11</f>
        <v>Capitalize Assets on SAP</v>
      </c>
      <c r="C57" s="31" t="str">
        <f>Summary!C11</f>
        <v>Finance</v>
      </c>
      <c r="D57" s="31" t="str">
        <f>Summary!D11</f>
        <v>Sarah M. Alshaikh Mubarak</v>
      </c>
      <c r="E57" s="41">
        <f>Summary!E11</f>
        <v>72800</v>
      </c>
      <c r="F57" s="31" t="str">
        <f>Summary!F11</f>
        <v>HIGH</v>
      </c>
      <c r="G57" s="31" t="str">
        <f>Summary!G11</f>
        <v>Medium</v>
      </c>
      <c r="H57" s="31" t="str">
        <f>Summary!H11</f>
        <v>S4</v>
      </c>
      <c r="I57" s="31" t="str">
        <f>Summary!I11</f>
        <v>Assessed</v>
      </c>
      <c r="J57" s="42" t="s">
        <v>24</v>
      </c>
      <c r="K57" s="42">
        <f>IF(B57="","",Summary!P11)</f>
        <v>11</v>
      </c>
      <c r="L57" s="43">
        <f>IF(M56="","",WORKDAY.INTL(M56,1,7))</f>
        <v>46308</v>
      </c>
      <c r="M57" s="43">
        <f t="shared" si="16"/>
        <v>46322</v>
      </c>
      <c r="N57" s="42" t="s">
        <v>178</v>
      </c>
      <c r="O57" s="44">
        <f t="shared" si="17"/>
        <v>0</v>
      </c>
      <c r="P57" s="42" t="s">
        <v>186</v>
      </c>
      <c r="Q57" s="42" t="s">
        <v>175</v>
      </c>
      <c r="R57" s="47"/>
      <c r="S57" s="47"/>
      <c r="T57" s="43"/>
      <c r="U57" s="43"/>
      <c r="V57" s="42">
        <f t="shared" ca="1" si="0"/>
        <v>0</v>
      </c>
      <c r="W57" s="42" t="str">
        <f t="shared" ca="1" si="1"/>
        <v>Green</v>
      </c>
      <c r="X57" s="42" t="s">
        <v>162</v>
      </c>
      <c r="Y57" s="42"/>
      <c r="Z57" s="42"/>
      <c r="AA57" s="43">
        <v>46236</v>
      </c>
      <c r="AB57" s="42" t="s">
        <v>169</v>
      </c>
    </row>
    <row r="58" spans="1:28" ht="28" customHeight="1">
      <c r="A58" s="31" t="str">
        <f>Summary!A11</f>
        <v>RPA-008</v>
      </c>
      <c r="B58" s="31" t="str">
        <f>Summary!B11</f>
        <v>Capitalize Assets on SAP</v>
      </c>
      <c r="C58" s="31" t="str">
        <f>Summary!C11</f>
        <v>Finance</v>
      </c>
      <c r="D58" s="31" t="str">
        <f>Summary!D11</f>
        <v>Sarah M. Alshaikh Mubarak</v>
      </c>
      <c r="E58" s="41">
        <f>Summary!E11</f>
        <v>72800</v>
      </c>
      <c r="F58" s="31" t="str">
        <f>Summary!F11</f>
        <v>HIGH</v>
      </c>
      <c r="G58" s="31" t="str">
        <f>Summary!G11</f>
        <v>Medium</v>
      </c>
      <c r="H58" s="31" t="str">
        <f>Summary!H11</f>
        <v>S4</v>
      </c>
      <c r="I58" s="31" t="str">
        <f>Summary!I11</f>
        <v>Assessed</v>
      </c>
      <c r="J58" s="42" t="s">
        <v>26</v>
      </c>
      <c r="K58" s="42">
        <f>IF(B58="","",Summary!Q11)</f>
        <v>1</v>
      </c>
      <c r="L58" s="43">
        <f>IF(M57="","",WORKDAY.INTL(M57,1,7))</f>
        <v>46323</v>
      </c>
      <c r="M58" s="43">
        <f t="shared" si="16"/>
        <v>46323</v>
      </c>
      <c r="N58" s="42" t="s">
        <v>178</v>
      </c>
      <c r="O58" s="44">
        <f t="shared" si="17"/>
        <v>0</v>
      </c>
      <c r="P58" s="42" t="s">
        <v>196</v>
      </c>
      <c r="Q58" s="42" t="s">
        <v>180</v>
      </c>
      <c r="R58" s="47"/>
      <c r="S58" s="47"/>
      <c r="T58" s="43"/>
      <c r="U58" s="43"/>
      <c r="V58" s="42">
        <f t="shared" ca="1" si="0"/>
        <v>0</v>
      </c>
      <c r="W58" s="42" t="str">
        <f t="shared" ca="1" si="1"/>
        <v>Green</v>
      </c>
      <c r="X58" s="42" t="s">
        <v>162</v>
      </c>
      <c r="Y58" s="42"/>
      <c r="Z58" s="42"/>
      <c r="AA58" s="43">
        <v>46236</v>
      </c>
      <c r="AB58" s="42" t="s">
        <v>169</v>
      </c>
    </row>
    <row r="59" spans="1:28" ht="28" customHeight="1">
      <c r="A59" s="31" t="str">
        <f>Summary!A11</f>
        <v>RPA-008</v>
      </c>
      <c r="B59" s="31" t="str">
        <f>Summary!B11</f>
        <v>Capitalize Assets on SAP</v>
      </c>
      <c r="C59" s="31" t="str">
        <f>Summary!C11</f>
        <v>Finance</v>
      </c>
      <c r="D59" s="31" t="str">
        <f>Summary!D11</f>
        <v>Sarah M. Alshaikh Mubarak</v>
      </c>
      <c r="E59" s="41">
        <f>Summary!E11</f>
        <v>72800</v>
      </c>
      <c r="F59" s="31" t="str">
        <f>Summary!F11</f>
        <v>HIGH</v>
      </c>
      <c r="G59" s="31" t="str">
        <f>Summary!G11</f>
        <v>Medium</v>
      </c>
      <c r="H59" s="31" t="str">
        <f>Summary!H11</f>
        <v>S4</v>
      </c>
      <c r="I59" s="31" t="str">
        <f>Summary!I11</f>
        <v>Assessed</v>
      </c>
      <c r="J59" s="42" t="s">
        <v>27</v>
      </c>
      <c r="K59" s="42">
        <f>IF(B59="","",Summary!R11)</f>
        <v>1</v>
      </c>
      <c r="L59" s="43">
        <f>IF(M58="","",WORKDAY.INTL(M58,1,7))</f>
        <v>46324</v>
      </c>
      <c r="M59" s="43">
        <f t="shared" si="16"/>
        <v>46324</v>
      </c>
      <c r="N59" s="42" t="s">
        <v>178</v>
      </c>
      <c r="O59" s="44">
        <f t="shared" si="17"/>
        <v>0</v>
      </c>
      <c r="P59" s="42" t="s">
        <v>186</v>
      </c>
      <c r="Q59" s="42" t="s">
        <v>175</v>
      </c>
      <c r="R59" s="47"/>
      <c r="S59" s="47"/>
      <c r="T59" s="43"/>
      <c r="U59" s="43"/>
      <c r="V59" s="42">
        <f t="shared" ca="1" si="0"/>
        <v>0</v>
      </c>
      <c r="W59" s="42" t="str">
        <f t="shared" ca="1" si="1"/>
        <v>Green</v>
      </c>
      <c r="X59" s="42" t="s">
        <v>162</v>
      </c>
      <c r="Y59" s="42"/>
      <c r="Z59" s="42"/>
      <c r="AA59" s="43">
        <v>46236</v>
      </c>
      <c r="AB59" s="42" t="s">
        <v>169</v>
      </c>
    </row>
    <row r="60" spans="1:28" ht="28" customHeight="1">
      <c r="A60" s="30" t="str">
        <f>Summary!A12</f>
        <v>RPA-009</v>
      </c>
      <c r="B60" s="30" t="str">
        <f>Summary!B12</f>
        <v>Utilities and Facilities Invoicing</v>
      </c>
      <c r="C60" s="30" t="str">
        <f>Summary!C12</f>
        <v>Finance</v>
      </c>
      <c r="D60" s="30" t="str">
        <f>Summary!D12</f>
        <v>Sarah M. Alshaikh Mubarak</v>
      </c>
      <c r="E60" s="38">
        <f>Summary!E12</f>
        <v>67200</v>
      </c>
      <c r="F60" s="30" t="str">
        <f>Summary!F12</f>
        <v>HIGH</v>
      </c>
      <c r="G60" s="30" t="str">
        <f>Summary!G12</f>
        <v>Medium</v>
      </c>
      <c r="H60" s="30" t="str">
        <f>Summary!H12</f>
        <v>S3</v>
      </c>
      <c r="I60" s="30" t="str">
        <f>Summary!I12</f>
        <v>Assessed</v>
      </c>
      <c r="J60" s="30" t="s">
        <v>161</v>
      </c>
      <c r="K60" s="30">
        <f>IF(B60="","",SUM(K61:K66))</f>
        <v>21</v>
      </c>
      <c r="L60" s="39">
        <f>IF(B60="","",L61)</f>
        <v>46296</v>
      </c>
      <c r="M60" s="39">
        <f>IF(B60="","",M66)</f>
        <v>46324</v>
      </c>
      <c r="N60" s="30" t="str">
        <f>IF(B60="","",IF(O60=100%,"Completed",IF(COUNTIF(N61:N66,"On Hold")&gt;0,"On Hold",IF(O60&gt;0%,"In Progress","Not Started"))))</f>
        <v>In Progress</v>
      </c>
      <c r="O60" s="44">
        <f>IF(B60="","",AVERAGE(O61:O66))</f>
        <v>0.25</v>
      </c>
      <c r="P60" s="40" t="s">
        <v>81</v>
      </c>
      <c r="Q60" s="40"/>
      <c r="R60" s="46"/>
      <c r="S60" s="46"/>
      <c r="T60" s="40" t="str">
        <f>IF(COUNT(T61:T66)=0,"",MIN(T61:T66))</f>
        <v/>
      </c>
      <c r="U60" s="40" t="str">
        <f>IF(COUNT(U61:U66)=0,"",MAX(U61:U66))</f>
        <v/>
      </c>
      <c r="V60" s="40">
        <f t="shared" ca="1" si="0"/>
        <v>0</v>
      </c>
      <c r="W60" s="40" t="str">
        <f t="shared" ca="1" si="1"/>
        <v>Green</v>
      </c>
      <c r="X60" s="40" t="s">
        <v>162</v>
      </c>
      <c r="Y60" s="40"/>
      <c r="Z60" s="40"/>
      <c r="AA60" s="40">
        <v>46236</v>
      </c>
      <c r="AB60" s="40" t="s">
        <v>169</v>
      </c>
    </row>
    <row r="61" spans="1:28" ht="28" customHeight="1">
      <c r="A61" s="31" t="str">
        <f>Summary!A12</f>
        <v>RPA-009</v>
      </c>
      <c r="B61" s="31" t="str">
        <f>Summary!B12</f>
        <v>Utilities and Facilities Invoicing</v>
      </c>
      <c r="C61" s="31" t="str">
        <f>Summary!C12</f>
        <v>Finance</v>
      </c>
      <c r="D61" s="31" t="str">
        <f>Summary!D12</f>
        <v>Sarah M. Alshaikh Mubarak</v>
      </c>
      <c r="E61" s="41">
        <f>Summary!E12</f>
        <v>67200</v>
      </c>
      <c r="F61" s="31" t="str">
        <f>Summary!F12</f>
        <v>HIGH</v>
      </c>
      <c r="G61" s="31" t="str">
        <f>Summary!G12</f>
        <v>Medium</v>
      </c>
      <c r="H61" s="31" t="str">
        <f>Summary!H12</f>
        <v>S3</v>
      </c>
      <c r="I61" s="31" t="str">
        <f>Summary!I12</f>
        <v>Assessed</v>
      </c>
      <c r="J61" s="42" t="s">
        <v>18</v>
      </c>
      <c r="K61" s="42">
        <f>IF(B61="","",Summary!M12)</f>
        <v>3</v>
      </c>
      <c r="L61" s="43">
        <f>IF(Summary!$L12="","",Summary!$L12)</f>
        <v>46296</v>
      </c>
      <c r="M61" s="43">
        <f t="shared" ref="M61:M66" si="18">IF(OR(L61="",K61=""),"",WORKDAY.INTL(L61-1,K61,7))</f>
        <v>46300</v>
      </c>
      <c r="N61" s="42" t="s">
        <v>12</v>
      </c>
      <c r="O61" s="44">
        <f t="shared" ref="O61:O66" si="19">IF(B61="","",IF(N61="Completed",100%,IF(OR(N61="In Progress",N61="On Hold"),50%,0%)))</f>
        <v>1</v>
      </c>
      <c r="P61" s="42" t="s">
        <v>170</v>
      </c>
      <c r="Q61" s="42" t="s">
        <v>171</v>
      </c>
      <c r="R61" s="47"/>
      <c r="S61" s="47"/>
      <c r="T61" s="43"/>
      <c r="U61" s="43"/>
      <c r="V61" s="42">
        <f t="shared" ca="1" si="0"/>
        <v>0</v>
      </c>
      <c r="W61" s="42" t="str">
        <f t="shared" si="1"/>
        <v>Green</v>
      </c>
      <c r="X61" s="42" t="s">
        <v>162</v>
      </c>
      <c r="Y61" s="42"/>
      <c r="Z61" s="42"/>
      <c r="AA61" s="43">
        <v>46236</v>
      </c>
      <c r="AB61" s="42" t="s">
        <v>169</v>
      </c>
    </row>
    <row r="62" spans="1:28" ht="28" customHeight="1">
      <c r="A62" s="31" t="str">
        <f>Summary!A12</f>
        <v>RPA-009</v>
      </c>
      <c r="B62" s="31" t="str">
        <f>Summary!B12</f>
        <v>Utilities and Facilities Invoicing</v>
      </c>
      <c r="C62" s="31" t="str">
        <f>Summary!C12</f>
        <v>Finance</v>
      </c>
      <c r="D62" s="31" t="str">
        <f>Summary!D12</f>
        <v>Sarah M. Alshaikh Mubarak</v>
      </c>
      <c r="E62" s="41">
        <f>Summary!E12</f>
        <v>67200</v>
      </c>
      <c r="F62" s="31" t="str">
        <f>Summary!F12</f>
        <v>HIGH</v>
      </c>
      <c r="G62" s="31" t="str">
        <f>Summary!G12</f>
        <v>Medium</v>
      </c>
      <c r="H62" s="31" t="str">
        <f>Summary!H12</f>
        <v>S3</v>
      </c>
      <c r="I62" s="31" t="str">
        <f>Summary!I12</f>
        <v>Assessed</v>
      </c>
      <c r="J62" s="42" t="s">
        <v>20</v>
      </c>
      <c r="K62" s="42">
        <f>IF(B62="","",Summary!N12)</f>
        <v>1</v>
      </c>
      <c r="L62" s="43">
        <f>IF(M61="","",WORKDAY.INTL(M61,1,7))</f>
        <v>46301</v>
      </c>
      <c r="M62" s="43">
        <f t="shared" si="18"/>
        <v>46301</v>
      </c>
      <c r="N62" s="42" t="s">
        <v>173</v>
      </c>
      <c r="O62" s="44">
        <f t="shared" si="19"/>
        <v>0.5</v>
      </c>
      <c r="P62" s="42" t="s">
        <v>170</v>
      </c>
      <c r="Q62" s="42" t="s">
        <v>171</v>
      </c>
      <c r="R62" s="47"/>
      <c r="S62" s="47"/>
      <c r="T62" s="43"/>
      <c r="U62" s="43"/>
      <c r="V62" s="42">
        <f t="shared" ca="1" si="0"/>
        <v>0</v>
      </c>
      <c r="W62" s="42" t="str">
        <f t="shared" ca="1" si="1"/>
        <v>Green</v>
      </c>
      <c r="X62" s="42" t="s">
        <v>162</v>
      </c>
      <c r="Y62" s="42"/>
      <c r="Z62" s="42"/>
      <c r="AA62" s="43">
        <v>46236</v>
      </c>
      <c r="AB62" s="42" t="s">
        <v>169</v>
      </c>
    </row>
    <row r="63" spans="1:28" ht="28" customHeight="1">
      <c r="A63" s="31" t="str">
        <f>Summary!A12</f>
        <v>RPA-009</v>
      </c>
      <c r="B63" s="31" t="str">
        <f>Summary!B12</f>
        <v>Utilities and Facilities Invoicing</v>
      </c>
      <c r="C63" s="31" t="str">
        <f>Summary!C12</f>
        <v>Finance</v>
      </c>
      <c r="D63" s="31" t="str">
        <f>Summary!D12</f>
        <v>Sarah M. Alshaikh Mubarak</v>
      </c>
      <c r="E63" s="41">
        <f>Summary!E12</f>
        <v>67200</v>
      </c>
      <c r="F63" s="31" t="str">
        <f>Summary!F12</f>
        <v>HIGH</v>
      </c>
      <c r="G63" s="31" t="str">
        <f>Summary!G12</f>
        <v>Medium</v>
      </c>
      <c r="H63" s="31" t="str">
        <f>Summary!H12</f>
        <v>S3</v>
      </c>
      <c r="I63" s="31" t="str">
        <f>Summary!I12</f>
        <v>Assessed</v>
      </c>
      <c r="J63" s="42" t="s">
        <v>22</v>
      </c>
      <c r="K63" s="42">
        <f>IF(B63="","",Summary!O12)</f>
        <v>11</v>
      </c>
      <c r="L63" s="43">
        <f>IF(M62="","",WORKDAY.INTL(M62,1,7))</f>
        <v>46302</v>
      </c>
      <c r="M63" s="43">
        <f t="shared" si="18"/>
        <v>46316</v>
      </c>
      <c r="N63" s="42" t="s">
        <v>178</v>
      </c>
      <c r="O63" s="44">
        <f t="shared" si="19"/>
        <v>0</v>
      </c>
      <c r="P63" s="42" t="s">
        <v>81</v>
      </c>
      <c r="Q63" s="42" t="s">
        <v>172</v>
      </c>
      <c r="R63" s="47"/>
      <c r="S63" s="47"/>
      <c r="T63" s="43"/>
      <c r="U63" s="43"/>
      <c r="V63" s="42">
        <f t="shared" ca="1" si="0"/>
        <v>0</v>
      </c>
      <c r="W63" s="42" t="str">
        <f t="shared" ca="1" si="1"/>
        <v>Green</v>
      </c>
      <c r="X63" s="42" t="s">
        <v>162</v>
      </c>
      <c r="Y63" s="42"/>
      <c r="Z63" s="42"/>
      <c r="AA63" s="43">
        <v>46236</v>
      </c>
      <c r="AB63" s="42" t="s">
        <v>169</v>
      </c>
    </row>
    <row r="64" spans="1:28" ht="28" customHeight="1">
      <c r="A64" s="31" t="str">
        <f>Summary!A12</f>
        <v>RPA-009</v>
      </c>
      <c r="B64" s="31" t="str">
        <f>Summary!B12</f>
        <v>Utilities and Facilities Invoicing</v>
      </c>
      <c r="C64" s="31" t="str">
        <f>Summary!C12</f>
        <v>Finance</v>
      </c>
      <c r="D64" s="31" t="str">
        <f>Summary!D12</f>
        <v>Sarah M. Alshaikh Mubarak</v>
      </c>
      <c r="E64" s="41">
        <f>Summary!E12</f>
        <v>67200</v>
      </c>
      <c r="F64" s="31" t="str">
        <f>Summary!F12</f>
        <v>HIGH</v>
      </c>
      <c r="G64" s="31" t="str">
        <f>Summary!G12</f>
        <v>Medium</v>
      </c>
      <c r="H64" s="31" t="str">
        <f>Summary!H12</f>
        <v>S3</v>
      </c>
      <c r="I64" s="31" t="str">
        <f>Summary!I12</f>
        <v>Assessed</v>
      </c>
      <c r="J64" s="42" t="s">
        <v>24</v>
      </c>
      <c r="K64" s="42">
        <f>IF(B64="","",Summary!P12)</f>
        <v>1</v>
      </c>
      <c r="L64" s="43">
        <f>IF(M63="","",WORKDAY.INTL(M63,1,7))</f>
        <v>46317</v>
      </c>
      <c r="M64" s="43">
        <f t="shared" si="18"/>
        <v>46317</v>
      </c>
      <c r="N64" s="42" t="s">
        <v>178</v>
      </c>
      <c r="O64" s="44">
        <f t="shared" si="19"/>
        <v>0</v>
      </c>
      <c r="P64" s="42" t="s">
        <v>183</v>
      </c>
      <c r="Q64" s="42" t="s">
        <v>175</v>
      </c>
      <c r="R64" s="47"/>
      <c r="S64" s="47"/>
      <c r="T64" s="43"/>
      <c r="U64" s="43"/>
      <c r="V64" s="42">
        <f t="shared" ca="1" si="0"/>
        <v>0</v>
      </c>
      <c r="W64" s="42" t="str">
        <f t="shared" ca="1" si="1"/>
        <v>Green</v>
      </c>
      <c r="X64" s="42" t="s">
        <v>162</v>
      </c>
      <c r="Y64" s="42"/>
      <c r="Z64" s="42"/>
      <c r="AA64" s="43">
        <v>46236</v>
      </c>
      <c r="AB64" s="42" t="s">
        <v>169</v>
      </c>
    </row>
    <row r="65" spans="1:28" ht="28" customHeight="1">
      <c r="A65" s="31" t="str">
        <f>Summary!A12</f>
        <v>RPA-009</v>
      </c>
      <c r="B65" s="31" t="str">
        <f>Summary!B12</f>
        <v>Utilities and Facilities Invoicing</v>
      </c>
      <c r="C65" s="31" t="str">
        <f>Summary!C12</f>
        <v>Finance</v>
      </c>
      <c r="D65" s="31" t="str">
        <f>Summary!D12</f>
        <v>Sarah M. Alshaikh Mubarak</v>
      </c>
      <c r="E65" s="41">
        <f>Summary!E12</f>
        <v>67200</v>
      </c>
      <c r="F65" s="31" t="str">
        <f>Summary!F12</f>
        <v>HIGH</v>
      </c>
      <c r="G65" s="31" t="str">
        <f>Summary!G12</f>
        <v>Medium</v>
      </c>
      <c r="H65" s="31" t="str">
        <f>Summary!H12</f>
        <v>S3</v>
      </c>
      <c r="I65" s="31" t="str">
        <f>Summary!I12</f>
        <v>Assessed</v>
      </c>
      <c r="J65" s="42" t="s">
        <v>26</v>
      </c>
      <c r="K65" s="42">
        <f>IF(B65="","",Summary!Q12)</f>
        <v>4</v>
      </c>
      <c r="L65" s="43">
        <f>IF(M64="","",WORKDAY.INTL(M64,1,7))</f>
        <v>46320</v>
      </c>
      <c r="M65" s="43">
        <f t="shared" si="18"/>
        <v>46323</v>
      </c>
      <c r="N65" s="42" t="s">
        <v>178</v>
      </c>
      <c r="O65" s="44">
        <f t="shared" si="19"/>
        <v>0</v>
      </c>
      <c r="P65" s="42" t="s">
        <v>197</v>
      </c>
      <c r="Q65" s="42" t="s">
        <v>180</v>
      </c>
      <c r="R65" s="47"/>
      <c r="S65" s="47"/>
      <c r="T65" s="43"/>
      <c r="U65" s="43"/>
      <c r="V65" s="42">
        <f t="shared" ca="1" si="0"/>
        <v>0</v>
      </c>
      <c r="W65" s="42" t="str">
        <f t="shared" ca="1" si="1"/>
        <v>Green</v>
      </c>
      <c r="X65" s="42" t="s">
        <v>162</v>
      </c>
      <c r="Y65" s="42"/>
      <c r="Z65" s="42"/>
      <c r="AA65" s="43">
        <v>46236</v>
      </c>
      <c r="AB65" s="42" t="s">
        <v>169</v>
      </c>
    </row>
    <row r="66" spans="1:28" ht="28" customHeight="1">
      <c r="A66" s="31" t="str">
        <f>Summary!A12</f>
        <v>RPA-009</v>
      </c>
      <c r="B66" s="31" t="str">
        <f>Summary!B12</f>
        <v>Utilities and Facilities Invoicing</v>
      </c>
      <c r="C66" s="31" t="str">
        <f>Summary!C12</f>
        <v>Finance</v>
      </c>
      <c r="D66" s="31" t="str">
        <f>Summary!D12</f>
        <v>Sarah M. Alshaikh Mubarak</v>
      </c>
      <c r="E66" s="41">
        <f>Summary!E12</f>
        <v>67200</v>
      </c>
      <c r="F66" s="31" t="str">
        <f>Summary!F12</f>
        <v>HIGH</v>
      </c>
      <c r="G66" s="31" t="str">
        <f>Summary!G12</f>
        <v>Medium</v>
      </c>
      <c r="H66" s="31" t="str">
        <f>Summary!H12</f>
        <v>S3</v>
      </c>
      <c r="I66" s="31" t="str">
        <f>Summary!I12</f>
        <v>Assessed</v>
      </c>
      <c r="J66" s="42" t="s">
        <v>27</v>
      </c>
      <c r="K66" s="42">
        <f>IF(B66="","",Summary!R12)</f>
        <v>1</v>
      </c>
      <c r="L66" s="43">
        <f>IF(M65="","",WORKDAY.INTL(M65,1,7))</f>
        <v>46324</v>
      </c>
      <c r="M66" s="43">
        <f t="shared" si="18"/>
        <v>46324</v>
      </c>
      <c r="N66" s="42" t="s">
        <v>178</v>
      </c>
      <c r="O66" s="44">
        <f t="shared" si="19"/>
        <v>0</v>
      </c>
      <c r="P66" s="42" t="s">
        <v>183</v>
      </c>
      <c r="Q66" s="42" t="s">
        <v>175</v>
      </c>
      <c r="R66" s="47"/>
      <c r="S66" s="47"/>
      <c r="T66" s="43"/>
      <c r="U66" s="43"/>
      <c r="V66" s="42">
        <f t="shared" ca="1" si="0"/>
        <v>0</v>
      </c>
      <c r="W66" s="42" t="str">
        <f t="shared" ca="1" si="1"/>
        <v>Green</v>
      </c>
      <c r="X66" s="42" t="s">
        <v>162</v>
      </c>
      <c r="Y66" s="42"/>
      <c r="Z66" s="42"/>
      <c r="AA66" s="43">
        <v>46236</v>
      </c>
      <c r="AB66" s="42" t="s">
        <v>169</v>
      </c>
    </row>
    <row r="67" spans="1:28" ht="28" customHeight="1">
      <c r="A67" s="30" t="str">
        <f>Summary!A13</f>
        <v>RPA-010</v>
      </c>
      <c r="B67" s="30" t="str">
        <f>Summary!B13</f>
        <v>Shared Services KPI Reporting</v>
      </c>
      <c r="C67" s="30" t="str">
        <f>Summary!C13</f>
        <v>Shared Services</v>
      </c>
      <c r="D67" s="30" t="str">
        <f>Summary!D13</f>
        <v>Sarah M. Alsharif</v>
      </c>
      <c r="E67" s="38">
        <f>Summary!E13</f>
        <v>66360</v>
      </c>
      <c r="F67" s="30" t="str">
        <f>Summary!F13</f>
        <v>MEDIUM</v>
      </c>
      <c r="G67" s="30" t="str">
        <f>Summary!G13</f>
        <v>Medium</v>
      </c>
      <c r="H67" s="30" t="str">
        <f>Summary!H13</f>
        <v>S4</v>
      </c>
      <c r="I67" s="30" t="str">
        <f>Summary!I13</f>
        <v>Assessed</v>
      </c>
      <c r="J67" s="30" t="s">
        <v>161</v>
      </c>
      <c r="K67" s="30">
        <f>IF(B67="","",SUM(K68:K73))</f>
        <v>20</v>
      </c>
      <c r="L67" s="39">
        <f>IF(B67="","",L68)</f>
        <v>46265</v>
      </c>
      <c r="M67" s="39">
        <f>IF(B67="","",M73)</f>
        <v>46292</v>
      </c>
      <c r="N67" s="30" t="str">
        <f>IF(B67="","",IF(O67=100%,"Completed",IF(COUNTIF(N68:N73,"On Hold")&gt;0,"On Hold",IF(O67&gt;0%,"In Progress","Not Started"))))</f>
        <v>In Progress</v>
      </c>
      <c r="O67" s="44">
        <f>IF(B67="","",AVERAGE(O68:O73))</f>
        <v>0.25</v>
      </c>
      <c r="P67" s="40" t="s">
        <v>100</v>
      </c>
      <c r="Q67" s="40"/>
      <c r="R67" s="46"/>
      <c r="S67" s="46"/>
      <c r="T67" s="40" t="str">
        <f>IF(COUNT(T68:T73)=0,"",MIN(T68:T73))</f>
        <v/>
      </c>
      <c r="U67" s="40" t="str">
        <f>IF(COUNT(U68:U73)=0,"",MAX(U68:U73))</f>
        <v/>
      </c>
      <c r="V67" s="40">
        <f t="shared" ca="1" si="0"/>
        <v>0</v>
      </c>
      <c r="W67" s="40" t="str">
        <f t="shared" ca="1" si="1"/>
        <v>Green</v>
      </c>
      <c r="X67" s="40" t="s">
        <v>162</v>
      </c>
      <c r="Y67" s="40"/>
      <c r="Z67" s="40"/>
      <c r="AA67" s="40">
        <v>46236</v>
      </c>
      <c r="AB67" s="40" t="s">
        <v>169</v>
      </c>
    </row>
    <row r="68" spans="1:28" ht="28" customHeight="1">
      <c r="A68" s="31" t="str">
        <f>Summary!A13</f>
        <v>RPA-010</v>
      </c>
      <c r="B68" s="31" t="str">
        <f>Summary!B13</f>
        <v>Shared Services KPI Reporting</v>
      </c>
      <c r="C68" s="31" t="str">
        <f>Summary!C13</f>
        <v>Shared Services</v>
      </c>
      <c r="D68" s="31" t="str">
        <f>Summary!D13</f>
        <v>Sarah M. Alsharif</v>
      </c>
      <c r="E68" s="41">
        <f>Summary!E13</f>
        <v>66360</v>
      </c>
      <c r="F68" s="31" t="str">
        <f>Summary!F13</f>
        <v>MEDIUM</v>
      </c>
      <c r="G68" s="31" t="str">
        <f>Summary!G13</f>
        <v>Medium</v>
      </c>
      <c r="H68" s="31" t="str">
        <f>Summary!H13</f>
        <v>S4</v>
      </c>
      <c r="I68" s="31" t="str">
        <f>Summary!I13</f>
        <v>Assessed</v>
      </c>
      <c r="J68" s="42" t="s">
        <v>18</v>
      </c>
      <c r="K68" s="42">
        <f>IF(B68="","",Summary!M13)</f>
        <v>1</v>
      </c>
      <c r="L68" s="43">
        <f>IF(Summary!$L13="","",Summary!$L13)</f>
        <v>46265</v>
      </c>
      <c r="M68" s="43">
        <f t="shared" ref="M68:M73" si="20">IF(OR(L68="",K68=""),"",WORKDAY.INTL(L68-1,K68,7))</f>
        <v>46265</v>
      </c>
      <c r="N68" s="42" t="s">
        <v>12</v>
      </c>
      <c r="O68" s="44">
        <f t="shared" ref="O68:O73" si="21">IF(B68="","",IF(N68="Completed",100%,IF(OR(N68="In Progress",N68="On Hold"),50%,0%)))</f>
        <v>1</v>
      </c>
      <c r="P68" s="42" t="s">
        <v>190</v>
      </c>
      <c r="Q68" s="42" t="s">
        <v>171</v>
      </c>
      <c r="R68" s="47"/>
      <c r="S68" s="47"/>
      <c r="T68" s="43"/>
      <c r="U68" s="43"/>
      <c r="V68" s="42">
        <f t="shared" ref="V68:V131" ca="1" si="22">IF(B68="","",IF(N68="Cancelled","",IF(U68&lt;&gt;"",U68-M68,IF(AND(M68&lt;&gt;"",N68&lt;&gt;"Completed",TODAY()&gt;M68),TODAY()-M68,0))))</f>
        <v>0</v>
      </c>
      <c r="W68" s="42" t="str">
        <f t="shared" ref="W68:W131" si="23">IF(B68="","",IF(N68="Cancelled","Gray",IF(N68="On Hold","Red",IF(N68="Completed","Green",IF(V68&gt;5,"Red",IF(V68&gt;0,"Amber","Green"))))))</f>
        <v>Green</v>
      </c>
      <c r="X68" s="42" t="s">
        <v>162</v>
      </c>
      <c r="Y68" s="42"/>
      <c r="Z68" s="42"/>
      <c r="AA68" s="43">
        <v>46236</v>
      </c>
      <c r="AB68" s="42" t="s">
        <v>169</v>
      </c>
    </row>
    <row r="69" spans="1:28" ht="28" customHeight="1">
      <c r="A69" s="31" t="str">
        <f>Summary!A13</f>
        <v>RPA-010</v>
      </c>
      <c r="B69" s="31" t="str">
        <f>Summary!B13</f>
        <v>Shared Services KPI Reporting</v>
      </c>
      <c r="C69" s="31" t="str">
        <f>Summary!C13</f>
        <v>Shared Services</v>
      </c>
      <c r="D69" s="31" t="str">
        <f>Summary!D13</f>
        <v>Sarah M. Alsharif</v>
      </c>
      <c r="E69" s="41">
        <f>Summary!E13</f>
        <v>66360</v>
      </c>
      <c r="F69" s="31" t="str">
        <f>Summary!F13</f>
        <v>MEDIUM</v>
      </c>
      <c r="G69" s="31" t="str">
        <f>Summary!G13</f>
        <v>Medium</v>
      </c>
      <c r="H69" s="31" t="str">
        <f>Summary!H13</f>
        <v>S4</v>
      </c>
      <c r="I69" s="31" t="str">
        <f>Summary!I13</f>
        <v>Assessed</v>
      </c>
      <c r="J69" s="42" t="s">
        <v>20</v>
      </c>
      <c r="K69" s="42">
        <f>IF(B69="","",Summary!N13)</f>
        <v>1</v>
      </c>
      <c r="L69" s="43">
        <f>IF(M68="","",WORKDAY.INTL(M68,1,7))</f>
        <v>46266</v>
      </c>
      <c r="M69" s="43">
        <f t="shared" si="20"/>
        <v>46266</v>
      </c>
      <c r="N69" s="42" t="s">
        <v>173</v>
      </c>
      <c r="O69" s="44">
        <f t="shared" si="21"/>
        <v>0.5</v>
      </c>
      <c r="P69" s="42" t="s">
        <v>190</v>
      </c>
      <c r="Q69" s="42" t="s">
        <v>171</v>
      </c>
      <c r="R69" s="47"/>
      <c r="S69" s="47"/>
      <c r="T69" s="43"/>
      <c r="U69" s="43"/>
      <c r="V69" s="42">
        <f t="shared" ca="1" si="22"/>
        <v>0</v>
      </c>
      <c r="W69" s="42" t="str">
        <f t="shared" ca="1" si="23"/>
        <v>Green</v>
      </c>
      <c r="X69" s="42" t="s">
        <v>162</v>
      </c>
      <c r="Y69" s="42"/>
      <c r="Z69" s="42"/>
      <c r="AA69" s="43">
        <v>46236</v>
      </c>
      <c r="AB69" s="42" t="s">
        <v>169</v>
      </c>
    </row>
    <row r="70" spans="1:28" ht="28" customHeight="1">
      <c r="A70" s="31" t="str">
        <f>Summary!A13</f>
        <v>RPA-010</v>
      </c>
      <c r="B70" s="31" t="str">
        <f>Summary!B13</f>
        <v>Shared Services KPI Reporting</v>
      </c>
      <c r="C70" s="31" t="str">
        <f>Summary!C13</f>
        <v>Shared Services</v>
      </c>
      <c r="D70" s="31" t="str">
        <f>Summary!D13</f>
        <v>Sarah M. Alsharif</v>
      </c>
      <c r="E70" s="41">
        <f>Summary!E13</f>
        <v>66360</v>
      </c>
      <c r="F70" s="31" t="str">
        <f>Summary!F13</f>
        <v>MEDIUM</v>
      </c>
      <c r="G70" s="31" t="str">
        <f>Summary!G13</f>
        <v>Medium</v>
      </c>
      <c r="H70" s="31" t="str">
        <f>Summary!H13</f>
        <v>S4</v>
      </c>
      <c r="I70" s="31" t="str">
        <f>Summary!I13</f>
        <v>Assessed</v>
      </c>
      <c r="J70" s="42" t="s">
        <v>22</v>
      </c>
      <c r="K70" s="42">
        <f>IF(B70="","",Summary!O13)</f>
        <v>1</v>
      </c>
      <c r="L70" s="43">
        <f>IF(M69="","",WORKDAY.INTL(M69,1,7))</f>
        <v>46267</v>
      </c>
      <c r="M70" s="43">
        <f t="shared" si="20"/>
        <v>46267</v>
      </c>
      <c r="N70" s="42" t="s">
        <v>178</v>
      </c>
      <c r="O70" s="44">
        <f t="shared" si="21"/>
        <v>0</v>
      </c>
      <c r="P70" s="42" t="s">
        <v>100</v>
      </c>
      <c r="Q70" s="42" t="s">
        <v>172</v>
      </c>
      <c r="R70" s="47"/>
      <c r="S70" s="47"/>
      <c r="T70" s="43"/>
      <c r="U70" s="43"/>
      <c r="V70" s="42">
        <f t="shared" ca="1" si="22"/>
        <v>0</v>
      </c>
      <c r="W70" s="42" t="str">
        <f t="shared" ca="1" si="23"/>
        <v>Green</v>
      </c>
      <c r="X70" s="42" t="s">
        <v>162</v>
      </c>
      <c r="Y70" s="42"/>
      <c r="Z70" s="42"/>
      <c r="AA70" s="43">
        <v>46236</v>
      </c>
      <c r="AB70" s="42" t="s">
        <v>169</v>
      </c>
    </row>
    <row r="71" spans="1:28" ht="28" customHeight="1">
      <c r="A71" s="31" t="str">
        <f>Summary!A13</f>
        <v>RPA-010</v>
      </c>
      <c r="B71" s="31" t="str">
        <f>Summary!B13</f>
        <v>Shared Services KPI Reporting</v>
      </c>
      <c r="C71" s="31" t="str">
        <f>Summary!C13</f>
        <v>Shared Services</v>
      </c>
      <c r="D71" s="31" t="str">
        <f>Summary!D13</f>
        <v>Sarah M. Alsharif</v>
      </c>
      <c r="E71" s="41">
        <f>Summary!E13</f>
        <v>66360</v>
      </c>
      <c r="F71" s="31" t="str">
        <f>Summary!F13</f>
        <v>MEDIUM</v>
      </c>
      <c r="G71" s="31" t="str">
        <f>Summary!G13</f>
        <v>Medium</v>
      </c>
      <c r="H71" s="31" t="str">
        <f>Summary!H13</f>
        <v>S4</v>
      </c>
      <c r="I71" s="31" t="str">
        <f>Summary!I13</f>
        <v>Assessed</v>
      </c>
      <c r="J71" s="42" t="s">
        <v>24</v>
      </c>
      <c r="K71" s="42">
        <f>IF(B71="","",Summary!P13)</f>
        <v>15</v>
      </c>
      <c r="L71" s="43">
        <f>IF(M70="","",WORKDAY.INTL(M70,1,7))</f>
        <v>46268</v>
      </c>
      <c r="M71" s="43">
        <f t="shared" si="20"/>
        <v>46288</v>
      </c>
      <c r="N71" s="42" t="s">
        <v>178</v>
      </c>
      <c r="O71" s="44">
        <f t="shared" si="21"/>
        <v>0</v>
      </c>
      <c r="P71" s="42" t="s">
        <v>191</v>
      </c>
      <c r="Q71" s="42" t="s">
        <v>175</v>
      </c>
      <c r="R71" s="47"/>
      <c r="S71" s="47"/>
      <c r="T71" s="43"/>
      <c r="U71" s="43"/>
      <c r="V71" s="42">
        <f t="shared" ca="1" si="22"/>
        <v>0</v>
      </c>
      <c r="W71" s="42" t="str">
        <f t="shared" ca="1" si="23"/>
        <v>Green</v>
      </c>
      <c r="X71" s="42" t="s">
        <v>162</v>
      </c>
      <c r="Y71" s="42"/>
      <c r="Z71" s="42"/>
      <c r="AA71" s="43">
        <v>46236</v>
      </c>
      <c r="AB71" s="42" t="s">
        <v>169</v>
      </c>
    </row>
    <row r="72" spans="1:28" ht="28" customHeight="1">
      <c r="A72" s="31" t="str">
        <f>Summary!A13</f>
        <v>RPA-010</v>
      </c>
      <c r="B72" s="31" t="str">
        <f>Summary!B13</f>
        <v>Shared Services KPI Reporting</v>
      </c>
      <c r="C72" s="31" t="str">
        <f>Summary!C13</f>
        <v>Shared Services</v>
      </c>
      <c r="D72" s="31" t="str">
        <f>Summary!D13</f>
        <v>Sarah M. Alsharif</v>
      </c>
      <c r="E72" s="41">
        <f>Summary!E13</f>
        <v>66360</v>
      </c>
      <c r="F72" s="31" t="str">
        <f>Summary!F13</f>
        <v>MEDIUM</v>
      </c>
      <c r="G72" s="31" t="str">
        <f>Summary!G13</f>
        <v>Medium</v>
      </c>
      <c r="H72" s="31" t="str">
        <f>Summary!H13</f>
        <v>S4</v>
      </c>
      <c r="I72" s="31" t="str">
        <f>Summary!I13</f>
        <v>Assessed</v>
      </c>
      <c r="J72" s="42" t="s">
        <v>26</v>
      </c>
      <c r="K72" s="42">
        <f>IF(B72="","",Summary!Q13)</f>
        <v>1</v>
      </c>
      <c r="L72" s="43">
        <f>IF(M71="","",WORKDAY.INTL(M71,1,7))</f>
        <v>46289</v>
      </c>
      <c r="M72" s="43">
        <f t="shared" si="20"/>
        <v>46289</v>
      </c>
      <c r="N72" s="42" t="s">
        <v>178</v>
      </c>
      <c r="O72" s="44">
        <f t="shared" si="21"/>
        <v>0</v>
      </c>
      <c r="P72" s="42" t="s">
        <v>198</v>
      </c>
      <c r="Q72" s="42" t="s">
        <v>180</v>
      </c>
      <c r="R72" s="47"/>
      <c r="S72" s="47"/>
      <c r="T72" s="43"/>
      <c r="U72" s="43"/>
      <c r="V72" s="42">
        <f t="shared" ca="1" si="22"/>
        <v>0</v>
      </c>
      <c r="W72" s="42" t="str">
        <f t="shared" ca="1" si="23"/>
        <v>Green</v>
      </c>
      <c r="X72" s="42" t="s">
        <v>162</v>
      </c>
      <c r="Y72" s="42"/>
      <c r="Z72" s="42"/>
      <c r="AA72" s="43">
        <v>46236</v>
      </c>
      <c r="AB72" s="42" t="s">
        <v>169</v>
      </c>
    </row>
    <row r="73" spans="1:28" ht="28" customHeight="1">
      <c r="A73" s="31" t="str">
        <f>Summary!A13</f>
        <v>RPA-010</v>
      </c>
      <c r="B73" s="31" t="str">
        <f>Summary!B13</f>
        <v>Shared Services KPI Reporting</v>
      </c>
      <c r="C73" s="31" t="str">
        <f>Summary!C13</f>
        <v>Shared Services</v>
      </c>
      <c r="D73" s="31" t="str">
        <f>Summary!D13</f>
        <v>Sarah M. Alsharif</v>
      </c>
      <c r="E73" s="41">
        <f>Summary!E13</f>
        <v>66360</v>
      </c>
      <c r="F73" s="31" t="str">
        <f>Summary!F13</f>
        <v>MEDIUM</v>
      </c>
      <c r="G73" s="31" t="str">
        <f>Summary!G13</f>
        <v>Medium</v>
      </c>
      <c r="H73" s="31" t="str">
        <f>Summary!H13</f>
        <v>S4</v>
      </c>
      <c r="I73" s="31" t="str">
        <f>Summary!I13</f>
        <v>Assessed</v>
      </c>
      <c r="J73" s="42" t="s">
        <v>27</v>
      </c>
      <c r="K73" s="42">
        <f>IF(B73="","",Summary!R13)</f>
        <v>1</v>
      </c>
      <c r="L73" s="43">
        <f>IF(M72="","",WORKDAY.INTL(M72,1,7))</f>
        <v>46292</v>
      </c>
      <c r="M73" s="43">
        <f t="shared" si="20"/>
        <v>46292</v>
      </c>
      <c r="N73" s="42" t="s">
        <v>178</v>
      </c>
      <c r="O73" s="44">
        <f t="shared" si="21"/>
        <v>0</v>
      </c>
      <c r="P73" s="42" t="s">
        <v>191</v>
      </c>
      <c r="Q73" s="42" t="s">
        <v>175</v>
      </c>
      <c r="R73" s="47"/>
      <c r="S73" s="47"/>
      <c r="T73" s="43"/>
      <c r="U73" s="43"/>
      <c r="V73" s="42">
        <f t="shared" ca="1" si="22"/>
        <v>0</v>
      </c>
      <c r="W73" s="42" t="str">
        <f t="shared" ca="1" si="23"/>
        <v>Green</v>
      </c>
      <c r="X73" s="42" t="s">
        <v>162</v>
      </c>
      <c r="Y73" s="42"/>
      <c r="Z73" s="42"/>
      <c r="AA73" s="43">
        <v>46236</v>
      </c>
      <c r="AB73" s="42" t="s">
        <v>169</v>
      </c>
    </row>
    <row r="74" spans="1:28" ht="28" customHeight="1">
      <c r="A74" s="30" t="str">
        <f>Summary!A14</f>
        <v>RPA-011</v>
      </c>
      <c r="B74" s="30" t="str">
        <f>Summary!B14</f>
        <v>Revenue Recognition &amp; Contract Monitoring</v>
      </c>
      <c r="C74" s="30" t="str">
        <f>Summary!C14</f>
        <v>Finance</v>
      </c>
      <c r="D74" s="30" t="str">
        <f>Summary!D14</f>
        <v>Sarah M. Alshaikh Mubarak</v>
      </c>
      <c r="E74" s="38">
        <f>Summary!E14</f>
        <v>63280</v>
      </c>
      <c r="F74" s="30" t="str">
        <f>Summary!F14</f>
        <v>MEDIUM</v>
      </c>
      <c r="G74" s="30" t="str">
        <f>Summary!G14</f>
        <v>Medium</v>
      </c>
      <c r="H74" s="30" t="str">
        <f>Summary!H14</f>
        <v>S1</v>
      </c>
      <c r="I74" s="30" t="str">
        <f>Summary!I14</f>
        <v>Assessed</v>
      </c>
      <c r="J74" s="30" t="s">
        <v>161</v>
      </c>
      <c r="K74" s="30">
        <f>IF(B74="","",SUM(K75:K80))</f>
        <v>27</v>
      </c>
      <c r="L74" s="39">
        <f>IF(B74="","",L75)</f>
        <v>46278</v>
      </c>
      <c r="M74" s="39">
        <f>IF(B74="","",M80)</f>
        <v>46314</v>
      </c>
      <c r="N74" s="30" t="str">
        <f>IF(B74="","",IF(O74=100%,"Completed",IF(COUNTIF(N75:N80,"On Hold")&gt;0,"On Hold",IF(O74&gt;0%,"In Progress","Not Started"))))</f>
        <v>In Progress</v>
      </c>
      <c r="O74" s="44">
        <f>IF(B74="","",AVERAGE(O75:O80))</f>
        <v>0.25</v>
      </c>
      <c r="P74" s="40" t="s">
        <v>81</v>
      </c>
      <c r="Q74" s="40"/>
      <c r="R74" s="46"/>
      <c r="S74" s="46"/>
      <c r="T74" s="40" t="str">
        <f>IF(COUNT(T75:T80)=0,"",MIN(T75:T80))</f>
        <v/>
      </c>
      <c r="U74" s="40" t="str">
        <f>IF(COUNT(U75:U80)=0,"",MAX(U75:U80))</f>
        <v/>
      </c>
      <c r="V74" s="40">
        <f t="shared" ca="1" si="22"/>
        <v>0</v>
      </c>
      <c r="W74" s="40" t="str">
        <f t="shared" ca="1" si="23"/>
        <v>Green</v>
      </c>
      <c r="X74" s="40" t="s">
        <v>162</v>
      </c>
      <c r="Y74" s="40"/>
      <c r="Z74" s="40"/>
      <c r="AA74" s="40">
        <v>46236</v>
      </c>
      <c r="AB74" s="40" t="s">
        <v>169</v>
      </c>
    </row>
    <row r="75" spans="1:28" ht="28" customHeight="1">
      <c r="A75" s="31" t="str">
        <f>Summary!A14</f>
        <v>RPA-011</v>
      </c>
      <c r="B75" s="31" t="str">
        <f>Summary!B14</f>
        <v>Revenue Recognition &amp; Contract Monitoring</v>
      </c>
      <c r="C75" s="31" t="str">
        <f>Summary!C14</f>
        <v>Finance</v>
      </c>
      <c r="D75" s="31" t="str">
        <f>Summary!D14</f>
        <v>Sarah M. Alshaikh Mubarak</v>
      </c>
      <c r="E75" s="41">
        <f>Summary!E14</f>
        <v>63280</v>
      </c>
      <c r="F75" s="31" t="str">
        <f>Summary!F14</f>
        <v>MEDIUM</v>
      </c>
      <c r="G75" s="31" t="str">
        <f>Summary!G14</f>
        <v>Medium</v>
      </c>
      <c r="H75" s="31" t="str">
        <f>Summary!H14</f>
        <v>S1</v>
      </c>
      <c r="I75" s="31" t="str">
        <f>Summary!I14</f>
        <v>Assessed</v>
      </c>
      <c r="J75" s="42" t="s">
        <v>18</v>
      </c>
      <c r="K75" s="42">
        <f>IF(B75="","",Summary!M14)</f>
        <v>1</v>
      </c>
      <c r="L75" s="43">
        <f>IF(Summary!$L14="","",Summary!$L14)</f>
        <v>46278</v>
      </c>
      <c r="M75" s="43">
        <f t="shared" ref="M75:M80" si="24">IF(OR(L75="",K75=""),"",WORKDAY.INTL(L75-1,K75,7))</f>
        <v>46278</v>
      </c>
      <c r="N75" s="42" t="s">
        <v>12</v>
      </c>
      <c r="O75" s="44">
        <f t="shared" ref="O75:O80" si="25">IF(B75="","",IF(N75="Completed",100%,IF(OR(N75="In Progress",N75="On Hold"),50%,0%)))</f>
        <v>1</v>
      </c>
      <c r="P75" s="42" t="s">
        <v>185</v>
      </c>
      <c r="Q75" s="42" t="s">
        <v>171</v>
      </c>
      <c r="R75" s="47"/>
      <c r="S75" s="47"/>
      <c r="T75" s="43"/>
      <c r="U75" s="43"/>
      <c r="V75" s="42">
        <f t="shared" ca="1" si="22"/>
        <v>0</v>
      </c>
      <c r="W75" s="42" t="str">
        <f t="shared" si="23"/>
        <v>Green</v>
      </c>
      <c r="X75" s="42" t="s">
        <v>162</v>
      </c>
      <c r="Y75" s="42"/>
      <c r="Z75" s="42"/>
      <c r="AA75" s="43">
        <v>46236</v>
      </c>
      <c r="AB75" s="42" t="s">
        <v>169</v>
      </c>
    </row>
    <row r="76" spans="1:28" ht="28" customHeight="1">
      <c r="A76" s="31" t="str">
        <f>Summary!A14</f>
        <v>RPA-011</v>
      </c>
      <c r="B76" s="31" t="str">
        <f>Summary!B14</f>
        <v>Revenue Recognition &amp; Contract Monitoring</v>
      </c>
      <c r="C76" s="31" t="str">
        <f>Summary!C14</f>
        <v>Finance</v>
      </c>
      <c r="D76" s="31" t="str">
        <f>Summary!D14</f>
        <v>Sarah M. Alshaikh Mubarak</v>
      </c>
      <c r="E76" s="41">
        <f>Summary!E14</f>
        <v>63280</v>
      </c>
      <c r="F76" s="31" t="str">
        <f>Summary!F14</f>
        <v>MEDIUM</v>
      </c>
      <c r="G76" s="31" t="str">
        <f>Summary!G14</f>
        <v>Medium</v>
      </c>
      <c r="H76" s="31" t="str">
        <f>Summary!H14</f>
        <v>S1</v>
      </c>
      <c r="I76" s="31" t="str">
        <f>Summary!I14</f>
        <v>Assessed</v>
      </c>
      <c r="J76" s="42" t="s">
        <v>20</v>
      </c>
      <c r="K76" s="42">
        <f>IF(B76="","",Summary!N14)</f>
        <v>1</v>
      </c>
      <c r="L76" s="43">
        <f>IF(M75="","",WORKDAY.INTL(M75,1,7))</f>
        <v>46279</v>
      </c>
      <c r="M76" s="43">
        <f t="shared" si="24"/>
        <v>46279</v>
      </c>
      <c r="N76" s="42" t="s">
        <v>173</v>
      </c>
      <c r="O76" s="44">
        <f t="shared" si="25"/>
        <v>0.5</v>
      </c>
      <c r="P76" s="42" t="s">
        <v>185</v>
      </c>
      <c r="Q76" s="42" t="s">
        <v>171</v>
      </c>
      <c r="R76" s="47"/>
      <c r="S76" s="47"/>
      <c r="T76" s="43"/>
      <c r="U76" s="43"/>
      <c r="V76" s="42">
        <f t="shared" ca="1" si="22"/>
        <v>0</v>
      </c>
      <c r="W76" s="42" t="str">
        <f t="shared" ca="1" si="23"/>
        <v>Green</v>
      </c>
      <c r="X76" s="42" t="s">
        <v>162</v>
      </c>
      <c r="Y76" s="42"/>
      <c r="Z76" s="42"/>
      <c r="AA76" s="43">
        <v>46236</v>
      </c>
      <c r="AB76" s="42" t="s">
        <v>169</v>
      </c>
    </row>
    <row r="77" spans="1:28" ht="28" customHeight="1">
      <c r="A77" s="31" t="str">
        <f>Summary!A14</f>
        <v>RPA-011</v>
      </c>
      <c r="B77" s="31" t="str">
        <f>Summary!B14</f>
        <v>Revenue Recognition &amp; Contract Monitoring</v>
      </c>
      <c r="C77" s="31" t="str">
        <f>Summary!C14</f>
        <v>Finance</v>
      </c>
      <c r="D77" s="31" t="str">
        <f>Summary!D14</f>
        <v>Sarah M. Alshaikh Mubarak</v>
      </c>
      <c r="E77" s="41">
        <f>Summary!E14</f>
        <v>63280</v>
      </c>
      <c r="F77" s="31" t="str">
        <f>Summary!F14</f>
        <v>MEDIUM</v>
      </c>
      <c r="G77" s="31" t="str">
        <f>Summary!G14</f>
        <v>Medium</v>
      </c>
      <c r="H77" s="31" t="str">
        <f>Summary!H14</f>
        <v>S1</v>
      </c>
      <c r="I77" s="31" t="str">
        <f>Summary!I14</f>
        <v>Assessed</v>
      </c>
      <c r="J77" s="42" t="s">
        <v>22</v>
      </c>
      <c r="K77" s="42">
        <f>IF(B77="","",Summary!O14)</f>
        <v>1</v>
      </c>
      <c r="L77" s="43">
        <f>IF(M76="","",WORKDAY.INTL(M76,1,7))</f>
        <v>46280</v>
      </c>
      <c r="M77" s="43">
        <f t="shared" si="24"/>
        <v>46280</v>
      </c>
      <c r="N77" s="42" t="s">
        <v>178</v>
      </c>
      <c r="O77" s="44">
        <f t="shared" si="25"/>
        <v>0</v>
      </c>
      <c r="P77" s="42" t="s">
        <v>81</v>
      </c>
      <c r="Q77" s="42" t="s">
        <v>172</v>
      </c>
      <c r="R77" s="47"/>
      <c r="S77" s="47"/>
      <c r="T77" s="43"/>
      <c r="U77" s="43"/>
      <c r="V77" s="42">
        <f t="shared" ca="1" si="22"/>
        <v>0</v>
      </c>
      <c r="W77" s="42" t="str">
        <f t="shared" ca="1" si="23"/>
        <v>Green</v>
      </c>
      <c r="X77" s="42" t="s">
        <v>162</v>
      </c>
      <c r="Y77" s="42"/>
      <c r="Z77" s="42"/>
      <c r="AA77" s="43">
        <v>46236</v>
      </c>
      <c r="AB77" s="42" t="s">
        <v>169</v>
      </c>
    </row>
    <row r="78" spans="1:28" ht="28" customHeight="1">
      <c r="A78" s="31" t="str">
        <f>Summary!A14</f>
        <v>RPA-011</v>
      </c>
      <c r="B78" s="31" t="str">
        <f>Summary!B14</f>
        <v>Revenue Recognition &amp; Contract Monitoring</v>
      </c>
      <c r="C78" s="31" t="str">
        <f>Summary!C14</f>
        <v>Finance</v>
      </c>
      <c r="D78" s="31" t="str">
        <f>Summary!D14</f>
        <v>Sarah M. Alshaikh Mubarak</v>
      </c>
      <c r="E78" s="41">
        <f>Summary!E14</f>
        <v>63280</v>
      </c>
      <c r="F78" s="31" t="str">
        <f>Summary!F14</f>
        <v>MEDIUM</v>
      </c>
      <c r="G78" s="31" t="str">
        <f>Summary!G14</f>
        <v>Medium</v>
      </c>
      <c r="H78" s="31" t="str">
        <f>Summary!H14</f>
        <v>S1</v>
      </c>
      <c r="I78" s="31" t="str">
        <f>Summary!I14</f>
        <v>Assessed</v>
      </c>
      <c r="J78" s="42" t="s">
        <v>24</v>
      </c>
      <c r="K78" s="42">
        <f>IF(B78="","",Summary!P14)</f>
        <v>22</v>
      </c>
      <c r="L78" s="43">
        <f>IF(M77="","",WORKDAY.INTL(M77,1,7))</f>
        <v>46281</v>
      </c>
      <c r="M78" s="43">
        <f t="shared" si="24"/>
        <v>46310</v>
      </c>
      <c r="N78" s="42" t="s">
        <v>178</v>
      </c>
      <c r="O78" s="44">
        <f t="shared" si="25"/>
        <v>0</v>
      </c>
      <c r="P78" s="42" t="s">
        <v>186</v>
      </c>
      <c r="Q78" s="42" t="s">
        <v>175</v>
      </c>
      <c r="R78" s="47"/>
      <c r="S78" s="47"/>
      <c r="T78" s="43"/>
      <c r="U78" s="43"/>
      <c r="V78" s="42">
        <f t="shared" ca="1" si="22"/>
        <v>0</v>
      </c>
      <c r="W78" s="42" t="str">
        <f t="shared" ca="1" si="23"/>
        <v>Green</v>
      </c>
      <c r="X78" s="42" t="s">
        <v>162</v>
      </c>
      <c r="Y78" s="42"/>
      <c r="Z78" s="42"/>
      <c r="AA78" s="43">
        <v>46236</v>
      </c>
      <c r="AB78" s="42" t="s">
        <v>169</v>
      </c>
    </row>
    <row r="79" spans="1:28" ht="28" customHeight="1">
      <c r="A79" s="31" t="str">
        <f>Summary!A14</f>
        <v>RPA-011</v>
      </c>
      <c r="B79" s="31" t="str">
        <f>Summary!B14</f>
        <v>Revenue Recognition &amp; Contract Monitoring</v>
      </c>
      <c r="C79" s="31" t="str">
        <f>Summary!C14</f>
        <v>Finance</v>
      </c>
      <c r="D79" s="31" t="str">
        <f>Summary!D14</f>
        <v>Sarah M. Alshaikh Mubarak</v>
      </c>
      <c r="E79" s="41">
        <f>Summary!E14</f>
        <v>63280</v>
      </c>
      <c r="F79" s="31" t="str">
        <f>Summary!F14</f>
        <v>MEDIUM</v>
      </c>
      <c r="G79" s="31" t="str">
        <f>Summary!G14</f>
        <v>Medium</v>
      </c>
      <c r="H79" s="31" t="str">
        <f>Summary!H14</f>
        <v>S1</v>
      </c>
      <c r="I79" s="31" t="str">
        <f>Summary!I14</f>
        <v>Assessed</v>
      </c>
      <c r="J79" s="42" t="s">
        <v>26</v>
      </c>
      <c r="K79" s="42">
        <f>IF(B79="","",Summary!Q14)</f>
        <v>1</v>
      </c>
      <c r="L79" s="43">
        <f>IF(M78="","",WORKDAY.INTL(M78,1,7))</f>
        <v>46313</v>
      </c>
      <c r="M79" s="43">
        <f t="shared" si="24"/>
        <v>46313</v>
      </c>
      <c r="N79" s="42" t="s">
        <v>178</v>
      </c>
      <c r="O79" s="44">
        <f t="shared" si="25"/>
        <v>0</v>
      </c>
      <c r="P79" s="42" t="s">
        <v>196</v>
      </c>
      <c r="Q79" s="42" t="s">
        <v>180</v>
      </c>
      <c r="R79" s="47"/>
      <c r="S79" s="47"/>
      <c r="T79" s="43"/>
      <c r="U79" s="43"/>
      <c r="V79" s="42">
        <f t="shared" ca="1" si="22"/>
        <v>0</v>
      </c>
      <c r="W79" s="42" t="str">
        <f t="shared" ca="1" si="23"/>
        <v>Green</v>
      </c>
      <c r="X79" s="42" t="s">
        <v>162</v>
      </c>
      <c r="Y79" s="42"/>
      <c r="Z79" s="42"/>
      <c r="AA79" s="43">
        <v>46236</v>
      </c>
      <c r="AB79" s="42" t="s">
        <v>169</v>
      </c>
    </row>
    <row r="80" spans="1:28" ht="28" customHeight="1">
      <c r="A80" s="31" t="str">
        <f>Summary!A14</f>
        <v>RPA-011</v>
      </c>
      <c r="B80" s="31" t="str">
        <f>Summary!B14</f>
        <v>Revenue Recognition &amp; Contract Monitoring</v>
      </c>
      <c r="C80" s="31" t="str">
        <f>Summary!C14</f>
        <v>Finance</v>
      </c>
      <c r="D80" s="31" t="str">
        <f>Summary!D14</f>
        <v>Sarah M. Alshaikh Mubarak</v>
      </c>
      <c r="E80" s="41">
        <f>Summary!E14</f>
        <v>63280</v>
      </c>
      <c r="F80" s="31" t="str">
        <f>Summary!F14</f>
        <v>MEDIUM</v>
      </c>
      <c r="G80" s="31" t="str">
        <f>Summary!G14</f>
        <v>Medium</v>
      </c>
      <c r="H80" s="31" t="str">
        <f>Summary!H14</f>
        <v>S1</v>
      </c>
      <c r="I80" s="31" t="str">
        <f>Summary!I14</f>
        <v>Assessed</v>
      </c>
      <c r="J80" s="42" t="s">
        <v>27</v>
      </c>
      <c r="K80" s="42">
        <f>IF(B80="","",Summary!R14)</f>
        <v>1</v>
      </c>
      <c r="L80" s="43">
        <f>IF(M79="","",WORKDAY.INTL(M79,1,7))</f>
        <v>46314</v>
      </c>
      <c r="M80" s="43">
        <f t="shared" si="24"/>
        <v>46314</v>
      </c>
      <c r="N80" s="42" t="s">
        <v>178</v>
      </c>
      <c r="O80" s="44">
        <f t="shared" si="25"/>
        <v>0</v>
      </c>
      <c r="P80" s="42" t="s">
        <v>186</v>
      </c>
      <c r="Q80" s="42" t="s">
        <v>175</v>
      </c>
      <c r="R80" s="47"/>
      <c r="S80" s="47"/>
      <c r="T80" s="43"/>
      <c r="U80" s="43"/>
      <c r="V80" s="42">
        <f t="shared" ca="1" si="22"/>
        <v>0</v>
      </c>
      <c r="W80" s="42" t="str">
        <f t="shared" ca="1" si="23"/>
        <v>Green</v>
      </c>
      <c r="X80" s="42" t="s">
        <v>162</v>
      </c>
      <c r="Y80" s="42"/>
      <c r="Z80" s="42"/>
      <c r="AA80" s="43">
        <v>46236</v>
      </c>
      <c r="AB80" s="42" t="s">
        <v>169</v>
      </c>
    </row>
    <row r="81" spans="1:28" ht="28" customHeight="1">
      <c r="A81" s="30" t="str">
        <f>Summary!A15</f>
        <v>RPA-012</v>
      </c>
      <c r="B81" s="30" t="str">
        <f>Summary!B15</f>
        <v>Banking Reconciliation</v>
      </c>
      <c r="C81" s="30" t="str">
        <f>Summary!C15</f>
        <v>Finance</v>
      </c>
      <c r="D81" s="30" t="str">
        <f>Summary!D15</f>
        <v>Sarah M. Alshaikh Mubarak</v>
      </c>
      <c r="E81" s="38">
        <f>Summary!E15</f>
        <v>49000</v>
      </c>
      <c r="F81" s="30" t="str">
        <f>Summary!F15</f>
        <v>MEDIUM</v>
      </c>
      <c r="G81" s="30" t="str">
        <f>Summary!G15</f>
        <v>Medium</v>
      </c>
      <c r="H81" s="30" t="str">
        <f>Summary!H15</f>
        <v>S4</v>
      </c>
      <c r="I81" s="30" t="str">
        <f>Summary!I15</f>
        <v>Assessed</v>
      </c>
      <c r="J81" s="30" t="s">
        <v>161</v>
      </c>
      <c r="K81" s="30">
        <f>IF(B81="","",SUM(K82:K87))</f>
        <v>21</v>
      </c>
      <c r="L81" s="39">
        <f>IF(B81="","",L82)</f>
        <v>46273</v>
      </c>
      <c r="M81" s="39">
        <f>IF(B81="","",M87)</f>
        <v>46301</v>
      </c>
      <c r="N81" s="30" t="str">
        <f>IF(B81="","",IF(O81=100%,"Completed",IF(COUNTIF(N82:N87,"On Hold")&gt;0,"On Hold",IF(O81&gt;0%,"In Progress","Not Started"))))</f>
        <v>In Progress</v>
      </c>
      <c r="O81" s="44">
        <f>IF(B81="","",AVERAGE(O82:O87))</f>
        <v>0.25</v>
      </c>
      <c r="P81" s="40" t="s">
        <v>81</v>
      </c>
      <c r="Q81" s="40"/>
      <c r="R81" s="46"/>
      <c r="S81" s="46"/>
      <c r="T81" s="40" t="str">
        <f>IF(COUNT(T82:T87)=0,"",MIN(T82:T87))</f>
        <v/>
      </c>
      <c r="U81" s="40" t="str">
        <f>IF(COUNT(U82:U87)=0,"",MAX(U82:U87))</f>
        <v/>
      </c>
      <c r="V81" s="40">
        <f t="shared" ca="1" si="22"/>
        <v>0</v>
      </c>
      <c r="W81" s="40" t="str">
        <f t="shared" ca="1" si="23"/>
        <v>Green</v>
      </c>
      <c r="X81" s="40" t="s">
        <v>162</v>
      </c>
      <c r="Y81" s="40"/>
      <c r="Z81" s="40"/>
      <c r="AA81" s="40">
        <v>46236</v>
      </c>
      <c r="AB81" s="40" t="s">
        <v>169</v>
      </c>
    </row>
    <row r="82" spans="1:28" ht="28" customHeight="1">
      <c r="A82" s="31" t="str">
        <f>Summary!A15</f>
        <v>RPA-012</v>
      </c>
      <c r="B82" s="31" t="str">
        <f>Summary!B15</f>
        <v>Banking Reconciliation</v>
      </c>
      <c r="C82" s="31" t="str">
        <f>Summary!C15</f>
        <v>Finance</v>
      </c>
      <c r="D82" s="31" t="str">
        <f>Summary!D15</f>
        <v>Sarah M. Alshaikh Mubarak</v>
      </c>
      <c r="E82" s="41">
        <f>Summary!E15</f>
        <v>49000</v>
      </c>
      <c r="F82" s="31" t="str">
        <f>Summary!F15</f>
        <v>MEDIUM</v>
      </c>
      <c r="G82" s="31" t="str">
        <f>Summary!G15</f>
        <v>Medium</v>
      </c>
      <c r="H82" s="31" t="str">
        <f>Summary!H15</f>
        <v>S4</v>
      </c>
      <c r="I82" s="31" t="str">
        <f>Summary!I15</f>
        <v>Assessed</v>
      </c>
      <c r="J82" s="42" t="s">
        <v>18</v>
      </c>
      <c r="K82" s="42">
        <f>IF(B82="","",Summary!M15)</f>
        <v>2</v>
      </c>
      <c r="L82" s="43">
        <f>IF(Summary!$L15="","",Summary!$L15)</f>
        <v>46273</v>
      </c>
      <c r="M82" s="43">
        <f t="shared" ref="M82:M87" si="26">IF(OR(L82="",K82=""),"",WORKDAY.INTL(L82-1,K82,7))</f>
        <v>46274</v>
      </c>
      <c r="N82" s="42" t="s">
        <v>12</v>
      </c>
      <c r="O82" s="44">
        <f t="shared" ref="O82:O87" si="27">IF(B82="","",IF(N82="Completed",100%,IF(OR(N82="In Progress",N82="On Hold"),50%,0%)))</f>
        <v>1</v>
      </c>
      <c r="P82" s="42" t="s">
        <v>170</v>
      </c>
      <c r="Q82" s="42" t="s">
        <v>171</v>
      </c>
      <c r="R82" s="47"/>
      <c r="S82" s="47"/>
      <c r="T82" s="43"/>
      <c r="U82" s="43"/>
      <c r="V82" s="42">
        <f t="shared" ca="1" si="22"/>
        <v>0</v>
      </c>
      <c r="W82" s="42" t="str">
        <f t="shared" si="23"/>
        <v>Green</v>
      </c>
      <c r="X82" s="42" t="s">
        <v>162</v>
      </c>
      <c r="Y82" s="42"/>
      <c r="Z82" s="42"/>
      <c r="AA82" s="43">
        <v>46236</v>
      </c>
      <c r="AB82" s="42" t="s">
        <v>169</v>
      </c>
    </row>
    <row r="83" spans="1:28" ht="28" customHeight="1">
      <c r="A83" s="31" t="str">
        <f>Summary!A15</f>
        <v>RPA-012</v>
      </c>
      <c r="B83" s="31" t="str">
        <f>Summary!B15</f>
        <v>Banking Reconciliation</v>
      </c>
      <c r="C83" s="31" t="str">
        <f>Summary!C15</f>
        <v>Finance</v>
      </c>
      <c r="D83" s="31" t="str">
        <f>Summary!D15</f>
        <v>Sarah M. Alshaikh Mubarak</v>
      </c>
      <c r="E83" s="41">
        <f>Summary!E15</f>
        <v>49000</v>
      </c>
      <c r="F83" s="31" t="str">
        <f>Summary!F15</f>
        <v>MEDIUM</v>
      </c>
      <c r="G83" s="31" t="str">
        <f>Summary!G15</f>
        <v>Medium</v>
      </c>
      <c r="H83" s="31" t="str">
        <f>Summary!H15</f>
        <v>S4</v>
      </c>
      <c r="I83" s="31" t="str">
        <f>Summary!I15</f>
        <v>Assessed</v>
      </c>
      <c r="J83" s="42" t="s">
        <v>20</v>
      </c>
      <c r="K83" s="42">
        <f>IF(B83="","",Summary!N15)</f>
        <v>1</v>
      </c>
      <c r="L83" s="43">
        <f>IF(M82="","",WORKDAY.INTL(M82,1,7))</f>
        <v>46275</v>
      </c>
      <c r="M83" s="43">
        <f t="shared" si="26"/>
        <v>46275</v>
      </c>
      <c r="N83" s="42" t="s">
        <v>173</v>
      </c>
      <c r="O83" s="44">
        <f t="shared" si="27"/>
        <v>0.5</v>
      </c>
      <c r="P83" s="42" t="s">
        <v>170</v>
      </c>
      <c r="Q83" s="42" t="s">
        <v>171</v>
      </c>
      <c r="R83" s="47"/>
      <c r="S83" s="47"/>
      <c r="T83" s="43"/>
      <c r="U83" s="43"/>
      <c r="V83" s="42">
        <f t="shared" ca="1" si="22"/>
        <v>0</v>
      </c>
      <c r="W83" s="42" t="str">
        <f t="shared" ca="1" si="23"/>
        <v>Green</v>
      </c>
      <c r="X83" s="42" t="s">
        <v>162</v>
      </c>
      <c r="Y83" s="42"/>
      <c r="Z83" s="42"/>
      <c r="AA83" s="43">
        <v>46236</v>
      </c>
      <c r="AB83" s="42" t="s">
        <v>169</v>
      </c>
    </row>
    <row r="84" spans="1:28" ht="28" customHeight="1">
      <c r="A84" s="31" t="str">
        <f>Summary!A15</f>
        <v>RPA-012</v>
      </c>
      <c r="B84" s="31" t="str">
        <f>Summary!B15</f>
        <v>Banking Reconciliation</v>
      </c>
      <c r="C84" s="31" t="str">
        <f>Summary!C15</f>
        <v>Finance</v>
      </c>
      <c r="D84" s="31" t="str">
        <f>Summary!D15</f>
        <v>Sarah M. Alshaikh Mubarak</v>
      </c>
      <c r="E84" s="41">
        <f>Summary!E15</f>
        <v>49000</v>
      </c>
      <c r="F84" s="31" t="str">
        <f>Summary!F15</f>
        <v>MEDIUM</v>
      </c>
      <c r="G84" s="31" t="str">
        <f>Summary!G15</f>
        <v>Medium</v>
      </c>
      <c r="H84" s="31" t="str">
        <f>Summary!H15</f>
        <v>S4</v>
      </c>
      <c r="I84" s="31" t="str">
        <f>Summary!I15</f>
        <v>Assessed</v>
      </c>
      <c r="J84" s="42" t="s">
        <v>22</v>
      </c>
      <c r="K84" s="42">
        <f>IF(B84="","",Summary!O15)</f>
        <v>1</v>
      </c>
      <c r="L84" s="43">
        <f>IF(M83="","",WORKDAY.INTL(M83,1,7))</f>
        <v>46278</v>
      </c>
      <c r="M84" s="43">
        <f t="shared" si="26"/>
        <v>46278</v>
      </c>
      <c r="N84" s="42" t="s">
        <v>178</v>
      </c>
      <c r="O84" s="44">
        <f t="shared" si="27"/>
        <v>0</v>
      </c>
      <c r="P84" s="42" t="s">
        <v>81</v>
      </c>
      <c r="Q84" s="42" t="s">
        <v>172</v>
      </c>
      <c r="R84" s="47"/>
      <c r="S84" s="47"/>
      <c r="T84" s="43"/>
      <c r="U84" s="43"/>
      <c r="V84" s="42">
        <f t="shared" ca="1" si="22"/>
        <v>0</v>
      </c>
      <c r="W84" s="42" t="str">
        <f t="shared" ca="1" si="23"/>
        <v>Green</v>
      </c>
      <c r="X84" s="42" t="s">
        <v>162</v>
      </c>
      <c r="Y84" s="42"/>
      <c r="Z84" s="42"/>
      <c r="AA84" s="43">
        <v>46236</v>
      </c>
      <c r="AB84" s="42" t="s">
        <v>169</v>
      </c>
    </row>
    <row r="85" spans="1:28" ht="28" customHeight="1">
      <c r="A85" s="31" t="str">
        <f>Summary!A15</f>
        <v>RPA-012</v>
      </c>
      <c r="B85" s="31" t="str">
        <f>Summary!B15</f>
        <v>Banking Reconciliation</v>
      </c>
      <c r="C85" s="31" t="str">
        <f>Summary!C15</f>
        <v>Finance</v>
      </c>
      <c r="D85" s="31" t="str">
        <f>Summary!D15</f>
        <v>Sarah M. Alshaikh Mubarak</v>
      </c>
      <c r="E85" s="41">
        <f>Summary!E15</f>
        <v>49000</v>
      </c>
      <c r="F85" s="31" t="str">
        <f>Summary!F15</f>
        <v>MEDIUM</v>
      </c>
      <c r="G85" s="31" t="str">
        <f>Summary!G15</f>
        <v>Medium</v>
      </c>
      <c r="H85" s="31" t="str">
        <f>Summary!H15</f>
        <v>S4</v>
      </c>
      <c r="I85" s="31" t="str">
        <f>Summary!I15</f>
        <v>Assessed</v>
      </c>
      <c r="J85" s="42" t="s">
        <v>24</v>
      </c>
      <c r="K85" s="42">
        <f>IF(B85="","",Summary!P15)</f>
        <v>15</v>
      </c>
      <c r="L85" s="43">
        <f>IF(M84="","",WORKDAY.INTL(M84,1,7))</f>
        <v>46279</v>
      </c>
      <c r="M85" s="43">
        <f t="shared" si="26"/>
        <v>46299</v>
      </c>
      <c r="N85" s="42" t="s">
        <v>178</v>
      </c>
      <c r="O85" s="44">
        <f t="shared" si="27"/>
        <v>0</v>
      </c>
      <c r="P85" s="42" t="s">
        <v>174</v>
      </c>
      <c r="Q85" s="42" t="s">
        <v>175</v>
      </c>
      <c r="R85" s="47"/>
      <c r="S85" s="47"/>
      <c r="T85" s="43"/>
      <c r="U85" s="43"/>
      <c r="V85" s="42">
        <f t="shared" ca="1" si="22"/>
        <v>0</v>
      </c>
      <c r="W85" s="42" t="str">
        <f t="shared" ca="1" si="23"/>
        <v>Green</v>
      </c>
      <c r="X85" s="42" t="s">
        <v>162</v>
      </c>
      <c r="Y85" s="42"/>
      <c r="Z85" s="42"/>
      <c r="AA85" s="43">
        <v>46236</v>
      </c>
      <c r="AB85" s="42" t="s">
        <v>169</v>
      </c>
    </row>
    <row r="86" spans="1:28" ht="28" customHeight="1">
      <c r="A86" s="31" t="str">
        <f>Summary!A15</f>
        <v>RPA-012</v>
      </c>
      <c r="B86" s="31" t="str">
        <f>Summary!B15</f>
        <v>Banking Reconciliation</v>
      </c>
      <c r="C86" s="31" t="str">
        <f>Summary!C15</f>
        <v>Finance</v>
      </c>
      <c r="D86" s="31" t="str">
        <f>Summary!D15</f>
        <v>Sarah M. Alshaikh Mubarak</v>
      </c>
      <c r="E86" s="41">
        <f>Summary!E15</f>
        <v>49000</v>
      </c>
      <c r="F86" s="31" t="str">
        <f>Summary!F15</f>
        <v>MEDIUM</v>
      </c>
      <c r="G86" s="31" t="str">
        <f>Summary!G15</f>
        <v>Medium</v>
      </c>
      <c r="H86" s="31" t="str">
        <f>Summary!H15</f>
        <v>S4</v>
      </c>
      <c r="I86" s="31" t="str">
        <f>Summary!I15</f>
        <v>Assessed</v>
      </c>
      <c r="J86" s="42" t="s">
        <v>26</v>
      </c>
      <c r="K86" s="42">
        <f>IF(B86="","",Summary!Q15)</f>
        <v>1</v>
      </c>
      <c r="L86" s="43">
        <f>IF(M85="","",WORKDAY.INTL(M85,1,7))</f>
        <v>46300</v>
      </c>
      <c r="M86" s="43">
        <f t="shared" si="26"/>
        <v>46300</v>
      </c>
      <c r="N86" s="42" t="s">
        <v>178</v>
      </c>
      <c r="O86" s="44">
        <f t="shared" si="27"/>
        <v>0</v>
      </c>
      <c r="P86" s="42" t="s">
        <v>199</v>
      </c>
      <c r="Q86" s="42" t="s">
        <v>180</v>
      </c>
      <c r="R86" s="47"/>
      <c r="S86" s="47"/>
      <c r="T86" s="43"/>
      <c r="U86" s="43"/>
      <c r="V86" s="42">
        <f t="shared" ca="1" si="22"/>
        <v>0</v>
      </c>
      <c r="W86" s="42" t="str">
        <f t="shared" ca="1" si="23"/>
        <v>Green</v>
      </c>
      <c r="X86" s="42" t="s">
        <v>162</v>
      </c>
      <c r="Y86" s="42"/>
      <c r="Z86" s="42"/>
      <c r="AA86" s="43">
        <v>46236</v>
      </c>
      <c r="AB86" s="42" t="s">
        <v>169</v>
      </c>
    </row>
    <row r="87" spans="1:28" ht="28" customHeight="1">
      <c r="A87" s="31" t="str">
        <f>Summary!A15</f>
        <v>RPA-012</v>
      </c>
      <c r="B87" s="31" t="str">
        <f>Summary!B15</f>
        <v>Banking Reconciliation</v>
      </c>
      <c r="C87" s="31" t="str">
        <f>Summary!C15</f>
        <v>Finance</v>
      </c>
      <c r="D87" s="31" t="str">
        <f>Summary!D15</f>
        <v>Sarah M. Alshaikh Mubarak</v>
      </c>
      <c r="E87" s="41">
        <f>Summary!E15</f>
        <v>49000</v>
      </c>
      <c r="F87" s="31" t="str">
        <f>Summary!F15</f>
        <v>MEDIUM</v>
      </c>
      <c r="G87" s="31" t="str">
        <f>Summary!G15</f>
        <v>Medium</v>
      </c>
      <c r="H87" s="31" t="str">
        <f>Summary!H15</f>
        <v>S4</v>
      </c>
      <c r="I87" s="31" t="str">
        <f>Summary!I15</f>
        <v>Assessed</v>
      </c>
      <c r="J87" s="42" t="s">
        <v>27</v>
      </c>
      <c r="K87" s="42">
        <f>IF(B87="","",Summary!R15)</f>
        <v>1</v>
      </c>
      <c r="L87" s="43">
        <f>IF(M86="","",WORKDAY.INTL(M86,1,7))</f>
        <v>46301</v>
      </c>
      <c r="M87" s="43">
        <f t="shared" si="26"/>
        <v>46301</v>
      </c>
      <c r="N87" s="42" t="s">
        <v>178</v>
      </c>
      <c r="O87" s="44">
        <f t="shared" si="27"/>
        <v>0</v>
      </c>
      <c r="P87" s="42" t="s">
        <v>174</v>
      </c>
      <c r="Q87" s="42" t="s">
        <v>175</v>
      </c>
      <c r="R87" s="47"/>
      <c r="S87" s="47"/>
      <c r="T87" s="43"/>
      <c r="U87" s="43"/>
      <c r="V87" s="42">
        <f t="shared" ca="1" si="22"/>
        <v>0</v>
      </c>
      <c r="W87" s="42" t="str">
        <f t="shared" ca="1" si="23"/>
        <v>Green</v>
      </c>
      <c r="X87" s="42" t="s">
        <v>162</v>
      </c>
      <c r="Y87" s="42"/>
      <c r="Z87" s="42"/>
      <c r="AA87" s="43">
        <v>46236</v>
      </c>
      <c r="AB87" s="42" t="s">
        <v>169</v>
      </c>
    </row>
    <row r="88" spans="1:28" ht="28" customHeight="1">
      <c r="A88" s="30" t="str">
        <f>Summary!A16</f>
        <v>RPA-013</v>
      </c>
      <c r="B88" s="30" t="str">
        <f>Summary!B16</f>
        <v>Monthly and Annual WHT</v>
      </c>
      <c r="C88" s="30" t="str">
        <f>Summary!C16</f>
        <v>Finance</v>
      </c>
      <c r="D88" s="30" t="str">
        <f>Summary!D16</f>
        <v>Sarah M. Alshaikh Mubarak</v>
      </c>
      <c r="E88" s="38">
        <f>Summary!E16</f>
        <v>48720</v>
      </c>
      <c r="F88" s="30" t="str">
        <f>Summary!F16</f>
        <v>MEDIUM</v>
      </c>
      <c r="G88" s="30" t="str">
        <f>Summary!G16</f>
        <v>Medium</v>
      </c>
      <c r="H88" s="30" t="str">
        <f>Summary!H16</f>
        <v>S5</v>
      </c>
      <c r="I88" s="30" t="str">
        <f>Summary!I16</f>
        <v>Assessed</v>
      </c>
      <c r="J88" s="30" t="s">
        <v>161</v>
      </c>
      <c r="K88" s="30">
        <f>IF(B88="","",SUM(K89:K94))</f>
        <v>19</v>
      </c>
      <c r="L88" s="39">
        <f>IF(B88="","",L89)</f>
        <v>46299</v>
      </c>
      <c r="M88" s="39">
        <f>IF(B88="","",M94)</f>
        <v>46323</v>
      </c>
      <c r="N88" s="30" t="str">
        <f>IF(B88="","",IF(O88=100%,"Completed",IF(COUNTIF(N89:N94,"On Hold")&gt;0,"On Hold",IF(O88&gt;0%,"In Progress","Not Started"))))</f>
        <v>In Progress</v>
      </c>
      <c r="O88" s="44">
        <f>IF(B88="","",AVERAGE(O89:O94))</f>
        <v>0.25</v>
      </c>
      <c r="P88" s="40" t="s">
        <v>81</v>
      </c>
      <c r="Q88" s="40"/>
      <c r="R88" s="46"/>
      <c r="S88" s="46"/>
      <c r="T88" s="40" t="str">
        <f>IF(COUNT(T89:T94)=0,"",MIN(T89:T94))</f>
        <v/>
      </c>
      <c r="U88" s="40" t="str">
        <f>IF(COUNT(U89:U94)=0,"",MAX(U89:U94))</f>
        <v/>
      </c>
      <c r="V88" s="40">
        <f t="shared" ca="1" si="22"/>
        <v>0</v>
      </c>
      <c r="W88" s="40" t="str">
        <f t="shared" ca="1" si="23"/>
        <v>Green</v>
      </c>
      <c r="X88" s="40" t="s">
        <v>162</v>
      </c>
      <c r="Y88" s="40"/>
      <c r="Z88" s="40"/>
      <c r="AA88" s="40">
        <v>46236</v>
      </c>
      <c r="AB88" s="40" t="s">
        <v>169</v>
      </c>
    </row>
    <row r="89" spans="1:28" ht="28" customHeight="1">
      <c r="A89" s="31" t="str">
        <f>Summary!A16</f>
        <v>RPA-013</v>
      </c>
      <c r="B89" s="31" t="str">
        <f>Summary!B16</f>
        <v>Monthly and Annual WHT</v>
      </c>
      <c r="C89" s="31" t="str">
        <f>Summary!C16</f>
        <v>Finance</v>
      </c>
      <c r="D89" s="31" t="str">
        <f>Summary!D16</f>
        <v>Sarah M. Alshaikh Mubarak</v>
      </c>
      <c r="E89" s="41">
        <f>Summary!E16</f>
        <v>48720</v>
      </c>
      <c r="F89" s="31" t="str">
        <f>Summary!F16</f>
        <v>MEDIUM</v>
      </c>
      <c r="G89" s="31" t="str">
        <f>Summary!G16</f>
        <v>Medium</v>
      </c>
      <c r="H89" s="31" t="str">
        <f>Summary!H16</f>
        <v>S5</v>
      </c>
      <c r="I89" s="31" t="str">
        <f>Summary!I16</f>
        <v>Assessed</v>
      </c>
      <c r="J89" s="42" t="s">
        <v>18</v>
      </c>
      <c r="K89" s="42">
        <f>IF(B89="","",Summary!M16)</f>
        <v>1</v>
      </c>
      <c r="L89" s="43">
        <f>IF(Summary!$L16="","",Summary!$L16)</f>
        <v>46299</v>
      </c>
      <c r="M89" s="43">
        <f t="shared" ref="M89:M94" si="28">IF(OR(L89="",K89=""),"",WORKDAY.INTL(L89-1,K89,7))</f>
        <v>46299</v>
      </c>
      <c r="N89" s="42" t="s">
        <v>12</v>
      </c>
      <c r="O89" s="44">
        <f t="shared" ref="O89:O94" si="29">IF(B89="","",IF(N89="Completed",100%,IF(OR(N89="In Progress",N89="On Hold"),50%,0%)))</f>
        <v>1</v>
      </c>
      <c r="P89" s="42" t="s">
        <v>190</v>
      </c>
      <c r="Q89" s="42" t="s">
        <v>171</v>
      </c>
      <c r="R89" s="47"/>
      <c r="S89" s="47"/>
      <c r="T89" s="43"/>
      <c r="U89" s="43"/>
      <c r="V89" s="42">
        <f t="shared" ca="1" si="22"/>
        <v>0</v>
      </c>
      <c r="W89" s="42" t="str">
        <f t="shared" si="23"/>
        <v>Green</v>
      </c>
      <c r="X89" s="42" t="s">
        <v>162</v>
      </c>
      <c r="Y89" s="42"/>
      <c r="Z89" s="42"/>
      <c r="AA89" s="43">
        <v>46236</v>
      </c>
      <c r="AB89" s="42" t="s">
        <v>169</v>
      </c>
    </row>
    <row r="90" spans="1:28" ht="28" customHeight="1">
      <c r="A90" s="31" t="str">
        <f>Summary!A16</f>
        <v>RPA-013</v>
      </c>
      <c r="B90" s="31" t="str">
        <f>Summary!B16</f>
        <v>Monthly and Annual WHT</v>
      </c>
      <c r="C90" s="31" t="str">
        <f>Summary!C16</f>
        <v>Finance</v>
      </c>
      <c r="D90" s="31" t="str">
        <f>Summary!D16</f>
        <v>Sarah M. Alshaikh Mubarak</v>
      </c>
      <c r="E90" s="41">
        <f>Summary!E16</f>
        <v>48720</v>
      </c>
      <c r="F90" s="31" t="str">
        <f>Summary!F16</f>
        <v>MEDIUM</v>
      </c>
      <c r="G90" s="31" t="str">
        <f>Summary!G16</f>
        <v>Medium</v>
      </c>
      <c r="H90" s="31" t="str">
        <f>Summary!H16</f>
        <v>S5</v>
      </c>
      <c r="I90" s="31" t="str">
        <f>Summary!I16</f>
        <v>Assessed</v>
      </c>
      <c r="J90" s="42" t="s">
        <v>20</v>
      </c>
      <c r="K90" s="42">
        <f>IF(B90="","",Summary!N16)</f>
        <v>1</v>
      </c>
      <c r="L90" s="43">
        <f>IF(M89="","",WORKDAY.INTL(M89,1,7))</f>
        <v>46300</v>
      </c>
      <c r="M90" s="43">
        <f t="shared" si="28"/>
        <v>46300</v>
      </c>
      <c r="N90" s="42" t="s">
        <v>173</v>
      </c>
      <c r="O90" s="44">
        <f t="shared" si="29"/>
        <v>0.5</v>
      </c>
      <c r="P90" s="42" t="s">
        <v>190</v>
      </c>
      <c r="Q90" s="42" t="s">
        <v>171</v>
      </c>
      <c r="R90" s="47"/>
      <c r="S90" s="47"/>
      <c r="T90" s="43"/>
      <c r="U90" s="43"/>
      <c r="V90" s="42">
        <f t="shared" ca="1" si="22"/>
        <v>0</v>
      </c>
      <c r="W90" s="42" t="str">
        <f t="shared" ca="1" si="23"/>
        <v>Green</v>
      </c>
      <c r="X90" s="42" t="s">
        <v>162</v>
      </c>
      <c r="Y90" s="42"/>
      <c r="Z90" s="42"/>
      <c r="AA90" s="43">
        <v>46236</v>
      </c>
      <c r="AB90" s="42" t="s">
        <v>169</v>
      </c>
    </row>
    <row r="91" spans="1:28" ht="28" customHeight="1">
      <c r="A91" s="31" t="str">
        <f>Summary!A16</f>
        <v>RPA-013</v>
      </c>
      <c r="B91" s="31" t="str">
        <f>Summary!B16</f>
        <v>Monthly and Annual WHT</v>
      </c>
      <c r="C91" s="31" t="str">
        <f>Summary!C16</f>
        <v>Finance</v>
      </c>
      <c r="D91" s="31" t="str">
        <f>Summary!D16</f>
        <v>Sarah M. Alshaikh Mubarak</v>
      </c>
      <c r="E91" s="41">
        <f>Summary!E16</f>
        <v>48720</v>
      </c>
      <c r="F91" s="31" t="str">
        <f>Summary!F16</f>
        <v>MEDIUM</v>
      </c>
      <c r="G91" s="31" t="str">
        <f>Summary!G16</f>
        <v>Medium</v>
      </c>
      <c r="H91" s="31" t="str">
        <f>Summary!H16</f>
        <v>S5</v>
      </c>
      <c r="I91" s="31" t="str">
        <f>Summary!I16</f>
        <v>Assessed</v>
      </c>
      <c r="J91" s="42" t="s">
        <v>22</v>
      </c>
      <c r="K91" s="42">
        <f>IF(B91="","",Summary!O16)</f>
        <v>1</v>
      </c>
      <c r="L91" s="43">
        <f>IF(M90="","",WORKDAY.INTL(M90,1,7))</f>
        <v>46301</v>
      </c>
      <c r="M91" s="43">
        <f t="shared" si="28"/>
        <v>46301</v>
      </c>
      <c r="N91" s="42" t="s">
        <v>178</v>
      </c>
      <c r="O91" s="44">
        <f t="shared" si="29"/>
        <v>0</v>
      </c>
      <c r="P91" s="42" t="s">
        <v>81</v>
      </c>
      <c r="Q91" s="42" t="s">
        <v>172</v>
      </c>
      <c r="R91" s="47"/>
      <c r="S91" s="47"/>
      <c r="T91" s="43"/>
      <c r="U91" s="43"/>
      <c r="V91" s="42">
        <f t="shared" ca="1" si="22"/>
        <v>0</v>
      </c>
      <c r="W91" s="42" t="str">
        <f t="shared" ca="1" si="23"/>
        <v>Green</v>
      </c>
      <c r="X91" s="42" t="s">
        <v>162</v>
      </c>
      <c r="Y91" s="42"/>
      <c r="Z91" s="42"/>
      <c r="AA91" s="43">
        <v>46236</v>
      </c>
      <c r="AB91" s="42" t="s">
        <v>169</v>
      </c>
    </row>
    <row r="92" spans="1:28" ht="28" customHeight="1">
      <c r="A92" s="31" t="str">
        <f>Summary!A16</f>
        <v>RPA-013</v>
      </c>
      <c r="B92" s="31" t="str">
        <f>Summary!B16</f>
        <v>Monthly and Annual WHT</v>
      </c>
      <c r="C92" s="31" t="str">
        <f>Summary!C16</f>
        <v>Finance</v>
      </c>
      <c r="D92" s="31" t="str">
        <f>Summary!D16</f>
        <v>Sarah M. Alshaikh Mubarak</v>
      </c>
      <c r="E92" s="41">
        <f>Summary!E16</f>
        <v>48720</v>
      </c>
      <c r="F92" s="31" t="str">
        <f>Summary!F16</f>
        <v>MEDIUM</v>
      </c>
      <c r="G92" s="31" t="str">
        <f>Summary!G16</f>
        <v>Medium</v>
      </c>
      <c r="H92" s="31" t="str">
        <f>Summary!H16</f>
        <v>S5</v>
      </c>
      <c r="I92" s="31" t="str">
        <f>Summary!I16</f>
        <v>Assessed</v>
      </c>
      <c r="J92" s="42" t="s">
        <v>24</v>
      </c>
      <c r="K92" s="42">
        <f>IF(B92="","",Summary!P16)</f>
        <v>14</v>
      </c>
      <c r="L92" s="43">
        <f>IF(M91="","",WORKDAY.INTL(M91,1,7))</f>
        <v>46302</v>
      </c>
      <c r="M92" s="43">
        <f t="shared" si="28"/>
        <v>46321</v>
      </c>
      <c r="N92" s="42" t="s">
        <v>178</v>
      </c>
      <c r="O92" s="44">
        <f t="shared" si="29"/>
        <v>0</v>
      </c>
      <c r="P92" s="42" t="s">
        <v>183</v>
      </c>
      <c r="Q92" s="42" t="s">
        <v>175</v>
      </c>
      <c r="R92" s="47"/>
      <c r="S92" s="47"/>
      <c r="T92" s="43"/>
      <c r="U92" s="43"/>
      <c r="V92" s="42">
        <f t="shared" ca="1" si="22"/>
        <v>0</v>
      </c>
      <c r="W92" s="42" t="str">
        <f t="shared" ca="1" si="23"/>
        <v>Green</v>
      </c>
      <c r="X92" s="42" t="s">
        <v>162</v>
      </c>
      <c r="Y92" s="42"/>
      <c r="Z92" s="42"/>
      <c r="AA92" s="43">
        <v>46236</v>
      </c>
      <c r="AB92" s="42" t="s">
        <v>169</v>
      </c>
    </row>
    <row r="93" spans="1:28" ht="28" customHeight="1">
      <c r="A93" s="31" t="str">
        <f>Summary!A16</f>
        <v>RPA-013</v>
      </c>
      <c r="B93" s="31" t="str">
        <f>Summary!B16</f>
        <v>Monthly and Annual WHT</v>
      </c>
      <c r="C93" s="31" t="str">
        <f>Summary!C16</f>
        <v>Finance</v>
      </c>
      <c r="D93" s="31" t="str">
        <f>Summary!D16</f>
        <v>Sarah M. Alshaikh Mubarak</v>
      </c>
      <c r="E93" s="41">
        <f>Summary!E16</f>
        <v>48720</v>
      </c>
      <c r="F93" s="31" t="str">
        <f>Summary!F16</f>
        <v>MEDIUM</v>
      </c>
      <c r="G93" s="31" t="str">
        <f>Summary!G16</f>
        <v>Medium</v>
      </c>
      <c r="H93" s="31" t="str">
        <f>Summary!H16</f>
        <v>S5</v>
      </c>
      <c r="I93" s="31" t="str">
        <f>Summary!I16</f>
        <v>Assessed</v>
      </c>
      <c r="J93" s="42" t="s">
        <v>26</v>
      </c>
      <c r="K93" s="42">
        <f>IF(B93="","",Summary!Q16)</f>
        <v>1</v>
      </c>
      <c r="L93" s="43">
        <f>IF(M92="","",WORKDAY.INTL(M92,1,7))</f>
        <v>46322</v>
      </c>
      <c r="M93" s="43">
        <f t="shared" si="28"/>
        <v>46322</v>
      </c>
      <c r="N93" s="42" t="s">
        <v>178</v>
      </c>
      <c r="O93" s="44">
        <f t="shared" si="29"/>
        <v>0</v>
      </c>
      <c r="P93" s="42" t="s">
        <v>197</v>
      </c>
      <c r="Q93" s="42" t="s">
        <v>180</v>
      </c>
      <c r="R93" s="47"/>
      <c r="S93" s="47"/>
      <c r="T93" s="43"/>
      <c r="U93" s="43"/>
      <c r="V93" s="42">
        <f t="shared" ca="1" si="22"/>
        <v>0</v>
      </c>
      <c r="W93" s="42" t="str">
        <f t="shared" ca="1" si="23"/>
        <v>Green</v>
      </c>
      <c r="X93" s="42" t="s">
        <v>162</v>
      </c>
      <c r="Y93" s="42"/>
      <c r="Z93" s="42"/>
      <c r="AA93" s="43">
        <v>46236</v>
      </c>
      <c r="AB93" s="42" t="s">
        <v>169</v>
      </c>
    </row>
    <row r="94" spans="1:28" ht="28" customHeight="1">
      <c r="A94" s="31" t="str">
        <f>Summary!A16</f>
        <v>RPA-013</v>
      </c>
      <c r="B94" s="31" t="str">
        <f>Summary!B16</f>
        <v>Monthly and Annual WHT</v>
      </c>
      <c r="C94" s="31" t="str">
        <f>Summary!C16</f>
        <v>Finance</v>
      </c>
      <c r="D94" s="31" t="str">
        <f>Summary!D16</f>
        <v>Sarah M. Alshaikh Mubarak</v>
      </c>
      <c r="E94" s="41">
        <f>Summary!E16</f>
        <v>48720</v>
      </c>
      <c r="F94" s="31" t="str">
        <f>Summary!F16</f>
        <v>MEDIUM</v>
      </c>
      <c r="G94" s="31" t="str">
        <f>Summary!G16</f>
        <v>Medium</v>
      </c>
      <c r="H94" s="31" t="str">
        <f>Summary!H16</f>
        <v>S5</v>
      </c>
      <c r="I94" s="31" t="str">
        <f>Summary!I16</f>
        <v>Assessed</v>
      </c>
      <c r="J94" s="42" t="s">
        <v>27</v>
      </c>
      <c r="K94" s="42">
        <f>IF(B94="","",Summary!R16)</f>
        <v>1</v>
      </c>
      <c r="L94" s="43">
        <f>IF(M93="","",WORKDAY.INTL(M93,1,7))</f>
        <v>46323</v>
      </c>
      <c r="M94" s="43">
        <f t="shared" si="28"/>
        <v>46323</v>
      </c>
      <c r="N94" s="42" t="s">
        <v>178</v>
      </c>
      <c r="O94" s="44">
        <f t="shared" si="29"/>
        <v>0</v>
      </c>
      <c r="P94" s="42" t="s">
        <v>183</v>
      </c>
      <c r="Q94" s="42" t="s">
        <v>175</v>
      </c>
      <c r="R94" s="47"/>
      <c r="S94" s="47"/>
      <c r="T94" s="43"/>
      <c r="U94" s="43"/>
      <c r="V94" s="42">
        <f t="shared" ca="1" si="22"/>
        <v>0</v>
      </c>
      <c r="W94" s="42" t="str">
        <f t="shared" ca="1" si="23"/>
        <v>Green</v>
      </c>
      <c r="X94" s="42" t="s">
        <v>162</v>
      </c>
      <c r="Y94" s="42"/>
      <c r="Z94" s="42"/>
      <c r="AA94" s="43">
        <v>46236</v>
      </c>
      <c r="AB94" s="42" t="s">
        <v>169</v>
      </c>
    </row>
    <row r="95" spans="1:28" ht="28" customHeight="1">
      <c r="A95" s="30" t="str">
        <f>Summary!A17</f>
        <v>RPA-014</v>
      </c>
      <c r="B95" s="30" t="str">
        <f>Summary!B17</f>
        <v>Create Contract through SAP</v>
      </c>
      <c r="C95" s="30" t="str">
        <f>Summary!C17</f>
        <v>Shared Services</v>
      </c>
      <c r="D95" s="30" t="str">
        <f>Summary!D17</f>
        <v>Bshaier</v>
      </c>
      <c r="E95" s="38">
        <f>Summary!E17</f>
        <v>36400</v>
      </c>
      <c r="F95" s="30" t="str">
        <f>Summary!F17</f>
        <v>MEDIUM</v>
      </c>
      <c r="G95" s="30" t="str">
        <f>Summary!G17</f>
        <v>Medium</v>
      </c>
      <c r="H95" s="30" t="str">
        <f>Summary!H17</f>
        <v>S3</v>
      </c>
      <c r="I95" s="30" t="str">
        <f>Summary!I17</f>
        <v>Assessed</v>
      </c>
      <c r="J95" s="30" t="s">
        <v>161</v>
      </c>
      <c r="K95" s="30">
        <f>IF(B95="","",SUM(K96:K101))</f>
        <v>12</v>
      </c>
      <c r="L95" s="39">
        <f>IF(B95="","",L96)</f>
        <v>46257</v>
      </c>
      <c r="M95" s="39">
        <f>IF(B95="","",M101)</f>
        <v>46272</v>
      </c>
      <c r="N95" s="30" t="str">
        <f>IF(B95="","",IF(O95=100%,"Completed",IF(COUNTIF(N96:N101,"On Hold")&gt;0,"On Hold",IF(O95&gt;0%,"In Progress","Not Started"))))</f>
        <v>Not Started</v>
      </c>
      <c r="O95" s="44">
        <f>IF(B95="","",AVERAGE(O96:O101))</f>
        <v>0</v>
      </c>
      <c r="P95" s="40" t="s">
        <v>85</v>
      </c>
      <c r="Q95" s="40"/>
      <c r="R95" s="46"/>
      <c r="S95" s="46"/>
      <c r="T95" s="40" t="str">
        <f>IF(COUNT(T96:T101)=0,"",MIN(T96:T101))</f>
        <v/>
      </c>
      <c r="U95" s="40" t="str">
        <f>IF(COUNT(U96:U101)=0,"",MAX(U96:U101))</f>
        <v/>
      </c>
      <c r="V95" s="40">
        <f t="shared" ca="1" si="22"/>
        <v>0</v>
      </c>
      <c r="W95" s="40" t="str">
        <f t="shared" ca="1" si="23"/>
        <v>Green</v>
      </c>
      <c r="X95" s="40" t="s">
        <v>162</v>
      </c>
      <c r="Y95" s="40"/>
      <c r="Z95" s="40"/>
      <c r="AA95" s="40">
        <v>46236</v>
      </c>
      <c r="AB95" s="40" t="s">
        <v>169</v>
      </c>
    </row>
    <row r="96" spans="1:28" ht="28" customHeight="1">
      <c r="A96" s="31" t="str">
        <f>Summary!A17</f>
        <v>RPA-014</v>
      </c>
      <c r="B96" s="31" t="str">
        <f>Summary!B17</f>
        <v>Create Contract through SAP</v>
      </c>
      <c r="C96" s="31" t="str">
        <f>Summary!C17</f>
        <v>Shared Services</v>
      </c>
      <c r="D96" s="31" t="str">
        <f>Summary!D17</f>
        <v>Bshaier</v>
      </c>
      <c r="E96" s="41">
        <f>Summary!E17</f>
        <v>36400</v>
      </c>
      <c r="F96" s="31" t="str">
        <f>Summary!F17</f>
        <v>MEDIUM</v>
      </c>
      <c r="G96" s="31" t="str">
        <f>Summary!G17</f>
        <v>Medium</v>
      </c>
      <c r="H96" s="31" t="str">
        <f>Summary!H17</f>
        <v>S3</v>
      </c>
      <c r="I96" s="31" t="str">
        <f>Summary!I17</f>
        <v>Assessed</v>
      </c>
      <c r="J96" s="42" t="s">
        <v>18</v>
      </c>
      <c r="K96" s="42">
        <f>IF(B96="","",Summary!M17)</f>
        <v>1</v>
      </c>
      <c r="L96" s="43">
        <f>IF(Summary!$L17="","",Summary!$L17)</f>
        <v>46257</v>
      </c>
      <c r="M96" s="43">
        <f t="shared" ref="M96:M101" si="30">IF(OR(L96="",K96=""),"",WORKDAY.INTL(L96-1,K96,7))</f>
        <v>46257</v>
      </c>
      <c r="N96" s="42" t="s">
        <v>178</v>
      </c>
      <c r="O96" s="44">
        <f t="shared" ref="O96:O101" si="31">IF(B96="","",IF(N96="Completed",100%,IF(OR(N96="In Progress",N96="On Hold"),50%,0%)))</f>
        <v>0</v>
      </c>
      <c r="P96" s="42" t="s">
        <v>185</v>
      </c>
      <c r="Q96" s="42" t="s">
        <v>171</v>
      </c>
      <c r="R96" s="47"/>
      <c r="S96" s="47"/>
      <c r="T96" s="43"/>
      <c r="U96" s="43"/>
      <c r="V96" s="42">
        <f t="shared" ca="1" si="22"/>
        <v>0</v>
      </c>
      <c r="W96" s="42" t="str">
        <f t="shared" ca="1" si="23"/>
        <v>Green</v>
      </c>
      <c r="X96" s="42" t="s">
        <v>162</v>
      </c>
      <c r="Y96" s="42"/>
      <c r="Z96" s="42"/>
      <c r="AA96" s="43">
        <v>46236</v>
      </c>
      <c r="AB96" s="42" t="s">
        <v>169</v>
      </c>
    </row>
    <row r="97" spans="1:28" ht="28" customHeight="1">
      <c r="A97" s="31" t="str">
        <f>Summary!A17</f>
        <v>RPA-014</v>
      </c>
      <c r="B97" s="31" t="str">
        <f>Summary!B17</f>
        <v>Create Contract through SAP</v>
      </c>
      <c r="C97" s="31" t="str">
        <f>Summary!C17</f>
        <v>Shared Services</v>
      </c>
      <c r="D97" s="31" t="str">
        <f>Summary!D17</f>
        <v>Bshaier</v>
      </c>
      <c r="E97" s="41">
        <f>Summary!E17</f>
        <v>36400</v>
      </c>
      <c r="F97" s="31" t="str">
        <f>Summary!F17</f>
        <v>MEDIUM</v>
      </c>
      <c r="G97" s="31" t="str">
        <f>Summary!G17</f>
        <v>Medium</v>
      </c>
      <c r="H97" s="31" t="str">
        <f>Summary!H17</f>
        <v>S3</v>
      </c>
      <c r="I97" s="31" t="str">
        <f>Summary!I17</f>
        <v>Assessed</v>
      </c>
      <c r="J97" s="42" t="s">
        <v>20</v>
      </c>
      <c r="K97" s="42">
        <f>IF(B97="","",Summary!N17)</f>
        <v>1</v>
      </c>
      <c r="L97" s="43">
        <f>IF(M96="","",WORKDAY.INTL(M96,1,7))</f>
        <v>46258</v>
      </c>
      <c r="M97" s="43">
        <f t="shared" si="30"/>
        <v>46258</v>
      </c>
      <c r="N97" s="42" t="s">
        <v>178</v>
      </c>
      <c r="O97" s="44">
        <f t="shared" si="31"/>
        <v>0</v>
      </c>
      <c r="P97" s="42" t="s">
        <v>185</v>
      </c>
      <c r="Q97" s="42" t="s">
        <v>171</v>
      </c>
      <c r="R97" s="47"/>
      <c r="S97" s="47"/>
      <c r="T97" s="43"/>
      <c r="U97" s="43"/>
      <c r="V97" s="42">
        <f t="shared" ca="1" si="22"/>
        <v>0</v>
      </c>
      <c r="W97" s="42" t="str">
        <f t="shared" ca="1" si="23"/>
        <v>Green</v>
      </c>
      <c r="X97" s="42" t="s">
        <v>162</v>
      </c>
      <c r="Y97" s="42"/>
      <c r="Z97" s="42"/>
      <c r="AA97" s="43">
        <v>46236</v>
      </c>
      <c r="AB97" s="42" t="s">
        <v>169</v>
      </c>
    </row>
    <row r="98" spans="1:28" ht="28" customHeight="1">
      <c r="A98" s="31" t="str">
        <f>Summary!A17</f>
        <v>RPA-014</v>
      </c>
      <c r="B98" s="31" t="str">
        <f>Summary!B17</f>
        <v>Create Contract through SAP</v>
      </c>
      <c r="C98" s="31" t="str">
        <f>Summary!C17</f>
        <v>Shared Services</v>
      </c>
      <c r="D98" s="31" t="str">
        <f>Summary!D17</f>
        <v>Bshaier</v>
      </c>
      <c r="E98" s="41">
        <f>Summary!E17</f>
        <v>36400</v>
      </c>
      <c r="F98" s="31" t="str">
        <f>Summary!F17</f>
        <v>MEDIUM</v>
      </c>
      <c r="G98" s="31" t="str">
        <f>Summary!G17</f>
        <v>Medium</v>
      </c>
      <c r="H98" s="31" t="str">
        <f>Summary!H17</f>
        <v>S3</v>
      </c>
      <c r="I98" s="31" t="str">
        <f>Summary!I17</f>
        <v>Assessed</v>
      </c>
      <c r="J98" s="42" t="s">
        <v>22</v>
      </c>
      <c r="K98" s="42">
        <f>IF(B98="","",Summary!O17)</f>
        <v>1</v>
      </c>
      <c r="L98" s="43">
        <f>IF(M97="","",WORKDAY.INTL(M97,1,7))</f>
        <v>46259</v>
      </c>
      <c r="M98" s="43">
        <f t="shared" si="30"/>
        <v>46259</v>
      </c>
      <c r="N98" s="42" t="s">
        <v>178</v>
      </c>
      <c r="O98" s="44">
        <f t="shared" si="31"/>
        <v>0</v>
      </c>
      <c r="P98" s="42" t="s">
        <v>85</v>
      </c>
      <c r="Q98" s="42" t="s">
        <v>172</v>
      </c>
      <c r="R98" s="47"/>
      <c r="S98" s="47"/>
      <c r="T98" s="43"/>
      <c r="U98" s="43"/>
      <c r="V98" s="42">
        <f t="shared" ca="1" si="22"/>
        <v>0</v>
      </c>
      <c r="W98" s="42" t="str">
        <f t="shared" ca="1" si="23"/>
        <v>Green</v>
      </c>
      <c r="X98" s="42" t="s">
        <v>162</v>
      </c>
      <c r="Y98" s="42"/>
      <c r="Z98" s="42"/>
      <c r="AA98" s="43">
        <v>46236</v>
      </c>
      <c r="AB98" s="42" t="s">
        <v>169</v>
      </c>
    </row>
    <row r="99" spans="1:28" ht="28" customHeight="1">
      <c r="A99" s="31" t="str">
        <f>Summary!A17</f>
        <v>RPA-014</v>
      </c>
      <c r="B99" s="31" t="str">
        <f>Summary!B17</f>
        <v>Create Contract through SAP</v>
      </c>
      <c r="C99" s="31" t="str">
        <f>Summary!C17</f>
        <v>Shared Services</v>
      </c>
      <c r="D99" s="31" t="str">
        <f>Summary!D17</f>
        <v>Bshaier</v>
      </c>
      <c r="E99" s="41">
        <f>Summary!E17</f>
        <v>36400</v>
      </c>
      <c r="F99" s="31" t="str">
        <f>Summary!F17</f>
        <v>MEDIUM</v>
      </c>
      <c r="G99" s="31" t="str">
        <f>Summary!G17</f>
        <v>Medium</v>
      </c>
      <c r="H99" s="31" t="str">
        <f>Summary!H17</f>
        <v>S3</v>
      </c>
      <c r="I99" s="31" t="str">
        <f>Summary!I17</f>
        <v>Assessed</v>
      </c>
      <c r="J99" s="42" t="s">
        <v>24</v>
      </c>
      <c r="K99" s="42">
        <f>IF(B99="","",Summary!P17)</f>
        <v>7</v>
      </c>
      <c r="L99" s="43">
        <f>IF(M98="","",WORKDAY.INTL(M98,1,7))</f>
        <v>46260</v>
      </c>
      <c r="M99" s="43">
        <f t="shared" si="30"/>
        <v>46268</v>
      </c>
      <c r="N99" s="42" t="s">
        <v>178</v>
      </c>
      <c r="O99" s="44">
        <f t="shared" si="31"/>
        <v>0</v>
      </c>
      <c r="P99" s="42" t="s">
        <v>191</v>
      </c>
      <c r="Q99" s="42" t="s">
        <v>175</v>
      </c>
      <c r="R99" s="47"/>
      <c r="S99" s="47"/>
      <c r="T99" s="43"/>
      <c r="U99" s="43"/>
      <c r="V99" s="42">
        <f t="shared" ca="1" si="22"/>
        <v>0</v>
      </c>
      <c r="W99" s="42" t="str">
        <f t="shared" ca="1" si="23"/>
        <v>Green</v>
      </c>
      <c r="X99" s="42" t="s">
        <v>162</v>
      </c>
      <c r="Y99" s="42"/>
      <c r="Z99" s="42"/>
      <c r="AA99" s="43">
        <v>46236</v>
      </c>
      <c r="AB99" s="42" t="s">
        <v>169</v>
      </c>
    </row>
    <row r="100" spans="1:28" ht="28" customHeight="1">
      <c r="A100" s="31" t="str">
        <f>Summary!A17</f>
        <v>RPA-014</v>
      </c>
      <c r="B100" s="31" t="str">
        <f>Summary!B17</f>
        <v>Create Contract through SAP</v>
      </c>
      <c r="C100" s="31" t="str">
        <f>Summary!C17</f>
        <v>Shared Services</v>
      </c>
      <c r="D100" s="31" t="str">
        <f>Summary!D17</f>
        <v>Bshaier</v>
      </c>
      <c r="E100" s="41">
        <f>Summary!E17</f>
        <v>36400</v>
      </c>
      <c r="F100" s="31" t="str">
        <f>Summary!F17</f>
        <v>MEDIUM</v>
      </c>
      <c r="G100" s="31" t="str">
        <f>Summary!G17</f>
        <v>Medium</v>
      </c>
      <c r="H100" s="31" t="str">
        <f>Summary!H17</f>
        <v>S3</v>
      </c>
      <c r="I100" s="31" t="str">
        <f>Summary!I17</f>
        <v>Assessed</v>
      </c>
      <c r="J100" s="42" t="s">
        <v>26</v>
      </c>
      <c r="K100" s="42">
        <f>IF(B100="","",Summary!Q17)</f>
        <v>1</v>
      </c>
      <c r="L100" s="43">
        <f>IF(M99="","",WORKDAY.INTL(M99,1,7))</f>
        <v>46271</v>
      </c>
      <c r="M100" s="43">
        <f t="shared" si="30"/>
        <v>46271</v>
      </c>
      <c r="N100" s="42" t="s">
        <v>178</v>
      </c>
      <c r="O100" s="44">
        <f t="shared" si="31"/>
        <v>0</v>
      </c>
      <c r="P100" s="42" t="s">
        <v>200</v>
      </c>
      <c r="Q100" s="42" t="s">
        <v>180</v>
      </c>
      <c r="R100" s="47"/>
      <c r="S100" s="47"/>
      <c r="T100" s="43"/>
      <c r="U100" s="43"/>
      <c r="V100" s="42">
        <f t="shared" ca="1" si="22"/>
        <v>0</v>
      </c>
      <c r="W100" s="42" t="str">
        <f t="shared" ca="1" si="23"/>
        <v>Green</v>
      </c>
      <c r="X100" s="42" t="s">
        <v>162</v>
      </c>
      <c r="Y100" s="42"/>
      <c r="Z100" s="42"/>
      <c r="AA100" s="43">
        <v>46236</v>
      </c>
      <c r="AB100" s="42" t="s">
        <v>169</v>
      </c>
    </row>
    <row r="101" spans="1:28" ht="28" customHeight="1">
      <c r="A101" s="31" t="str">
        <f>Summary!A17</f>
        <v>RPA-014</v>
      </c>
      <c r="B101" s="31" t="str">
        <f>Summary!B17</f>
        <v>Create Contract through SAP</v>
      </c>
      <c r="C101" s="31" t="str">
        <f>Summary!C17</f>
        <v>Shared Services</v>
      </c>
      <c r="D101" s="31" t="str">
        <f>Summary!D17</f>
        <v>Bshaier</v>
      </c>
      <c r="E101" s="41">
        <f>Summary!E17</f>
        <v>36400</v>
      </c>
      <c r="F101" s="31" t="str">
        <f>Summary!F17</f>
        <v>MEDIUM</v>
      </c>
      <c r="G101" s="31" t="str">
        <f>Summary!G17</f>
        <v>Medium</v>
      </c>
      <c r="H101" s="31" t="str">
        <f>Summary!H17</f>
        <v>S3</v>
      </c>
      <c r="I101" s="31" t="str">
        <f>Summary!I17</f>
        <v>Assessed</v>
      </c>
      <c r="J101" s="42" t="s">
        <v>27</v>
      </c>
      <c r="K101" s="42">
        <f>IF(B101="","",Summary!R17)</f>
        <v>1</v>
      </c>
      <c r="L101" s="43">
        <f>IF(M100="","",WORKDAY.INTL(M100,1,7))</f>
        <v>46272</v>
      </c>
      <c r="M101" s="43">
        <f t="shared" si="30"/>
        <v>46272</v>
      </c>
      <c r="N101" s="42" t="s">
        <v>178</v>
      </c>
      <c r="O101" s="44">
        <f t="shared" si="31"/>
        <v>0</v>
      </c>
      <c r="P101" s="42" t="s">
        <v>191</v>
      </c>
      <c r="Q101" s="42" t="s">
        <v>175</v>
      </c>
      <c r="R101" s="47"/>
      <c r="S101" s="47"/>
      <c r="T101" s="43"/>
      <c r="U101" s="43"/>
      <c r="V101" s="42">
        <f t="shared" ca="1" si="22"/>
        <v>0</v>
      </c>
      <c r="W101" s="42" t="str">
        <f t="shared" ca="1" si="23"/>
        <v>Green</v>
      </c>
      <c r="X101" s="42" t="s">
        <v>162</v>
      </c>
      <c r="Y101" s="42"/>
      <c r="Z101" s="42"/>
      <c r="AA101" s="43">
        <v>46236</v>
      </c>
      <c r="AB101" s="42" t="s">
        <v>169</v>
      </c>
    </row>
    <row r="102" spans="1:28" ht="28" customHeight="1">
      <c r="A102" s="30" t="str">
        <f>Summary!A18</f>
        <v>RPA-015</v>
      </c>
      <c r="B102" s="30" t="str">
        <f>Summary!B18</f>
        <v>Aero Invoicing Posting</v>
      </c>
      <c r="C102" s="30" t="str">
        <f>Summary!C18</f>
        <v>Finance</v>
      </c>
      <c r="D102" s="30" t="str">
        <f>Summary!D18</f>
        <v>Bshaier</v>
      </c>
      <c r="E102" s="38">
        <f>Summary!E18</f>
        <v>13440</v>
      </c>
      <c r="F102" s="30" t="str">
        <f>Summary!F18</f>
        <v>MEDIUM</v>
      </c>
      <c r="G102" s="30" t="str">
        <f>Summary!G18</f>
        <v>Medium</v>
      </c>
      <c r="H102" s="30" t="str">
        <f>Summary!H18</f>
        <v>S2</v>
      </c>
      <c r="I102" s="30" t="str">
        <f>Summary!I18</f>
        <v>Assessed</v>
      </c>
      <c r="J102" s="30" t="s">
        <v>161</v>
      </c>
      <c r="K102" s="30">
        <f>IF(B102="","",SUM(K103:K108))</f>
        <v>25</v>
      </c>
      <c r="L102" s="39">
        <f>IF(B102="","",L103)</f>
        <v>46259</v>
      </c>
      <c r="M102" s="39">
        <f>IF(B102="","",M108)</f>
        <v>46293</v>
      </c>
      <c r="N102" s="30" t="str">
        <f>IF(B102="","",IF(O102=100%,"Completed",IF(COUNTIF(N103:N108,"On Hold")&gt;0,"On Hold",IF(O102&gt;0%,"In Progress","Not Started"))))</f>
        <v>In Progress</v>
      </c>
      <c r="O102" s="44">
        <f>IF(B102="","",AVERAGE(O103:O108))</f>
        <v>0.25</v>
      </c>
      <c r="P102" s="40" t="s">
        <v>85</v>
      </c>
      <c r="Q102" s="40"/>
      <c r="R102" s="46"/>
      <c r="S102" s="46"/>
      <c r="T102" s="40" t="str">
        <f>IF(COUNT(T103:T108)=0,"",MIN(T103:T108))</f>
        <v/>
      </c>
      <c r="U102" s="40" t="str">
        <f>IF(COUNT(U103:U108)=0,"",MAX(U103:U108))</f>
        <v/>
      </c>
      <c r="V102" s="40">
        <f t="shared" ca="1" si="22"/>
        <v>0</v>
      </c>
      <c r="W102" s="40" t="str">
        <f t="shared" ca="1" si="23"/>
        <v>Green</v>
      </c>
      <c r="X102" s="40" t="s">
        <v>162</v>
      </c>
      <c r="Y102" s="40"/>
      <c r="Z102" s="40"/>
      <c r="AA102" s="40">
        <v>46236</v>
      </c>
      <c r="AB102" s="40" t="s">
        <v>169</v>
      </c>
    </row>
    <row r="103" spans="1:28" ht="28" customHeight="1">
      <c r="A103" s="31" t="str">
        <f>Summary!A18</f>
        <v>RPA-015</v>
      </c>
      <c r="B103" s="31" t="str">
        <f>Summary!B18</f>
        <v>Aero Invoicing Posting</v>
      </c>
      <c r="C103" s="31" t="str">
        <f>Summary!C18</f>
        <v>Finance</v>
      </c>
      <c r="D103" s="31" t="str">
        <f>Summary!D18</f>
        <v>Bshaier</v>
      </c>
      <c r="E103" s="41">
        <f>Summary!E18</f>
        <v>13440</v>
      </c>
      <c r="F103" s="31" t="str">
        <f>Summary!F18</f>
        <v>MEDIUM</v>
      </c>
      <c r="G103" s="31" t="str">
        <f>Summary!G18</f>
        <v>Medium</v>
      </c>
      <c r="H103" s="31" t="str">
        <f>Summary!H18</f>
        <v>S2</v>
      </c>
      <c r="I103" s="31" t="str">
        <f>Summary!I18</f>
        <v>Assessed</v>
      </c>
      <c r="J103" s="42" t="s">
        <v>18</v>
      </c>
      <c r="K103" s="42">
        <f>IF(B103="","",Summary!M18)</f>
        <v>1</v>
      </c>
      <c r="L103" s="43">
        <f>IF(Summary!$L18="","",Summary!$L18)</f>
        <v>46259</v>
      </c>
      <c r="M103" s="43">
        <f t="shared" ref="M103:M108" si="32">IF(OR(L103="",K103=""),"",WORKDAY.INTL(L103-1,K103,7))</f>
        <v>46259</v>
      </c>
      <c r="N103" s="42" t="s">
        <v>12</v>
      </c>
      <c r="O103" s="44">
        <f t="shared" ref="O103:O108" si="33">IF(B103="","",IF(N103="Completed",100%,IF(OR(N103="In Progress",N103="On Hold"),50%,0%)))</f>
        <v>1</v>
      </c>
      <c r="P103" s="42" t="s">
        <v>170</v>
      </c>
      <c r="Q103" s="42" t="s">
        <v>171</v>
      </c>
      <c r="R103" s="47"/>
      <c r="S103" s="47"/>
      <c r="T103" s="43"/>
      <c r="U103" s="43"/>
      <c r="V103" s="42">
        <f t="shared" ca="1" si="22"/>
        <v>0</v>
      </c>
      <c r="W103" s="42" t="str">
        <f t="shared" si="23"/>
        <v>Green</v>
      </c>
      <c r="X103" s="42" t="s">
        <v>162</v>
      </c>
      <c r="Y103" s="42"/>
      <c r="Z103" s="42"/>
      <c r="AA103" s="43">
        <v>46236</v>
      </c>
      <c r="AB103" s="42" t="s">
        <v>169</v>
      </c>
    </row>
    <row r="104" spans="1:28" ht="28" customHeight="1">
      <c r="A104" s="31" t="str">
        <f>Summary!A18</f>
        <v>RPA-015</v>
      </c>
      <c r="B104" s="31" t="str">
        <f>Summary!B18</f>
        <v>Aero Invoicing Posting</v>
      </c>
      <c r="C104" s="31" t="str">
        <f>Summary!C18</f>
        <v>Finance</v>
      </c>
      <c r="D104" s="31" t="str">
        <f>Summary!D18</f>
        <v>Bshaier</v>
      </c>
      <c r="E104" s="41">
        <f>Summary!E18</f>
        <v>13440</v>
      </c>
      <c r="F104" s="31" t="str">
        <f>Summary!F18</f>
        <v>MEDIUM</v>
      </c>
      <c r="G104" s="31" t="str">
        <f>Summary!G18</f>
        <v>Medium</v>
      </c>
      <c r="H104" s="31" t="str">
        <f>Summary!H18</f>
        <v>S2</v>
      </c>
      <c r="I104" s="31" t="str">
        <f>Summary!I18</f>
        <v>Assessed</v>
      </c>
      <c r="J104" s="42" t="s">
        <v>20</v>
      </c>
      <c r="K104" s="42">
        <f>IF(B104="","",Summary!N18)</f>
        <v>1</v>
      </c>
      <c r="L104" s="43">
        <f>IF(M103="","",WORKDAY.INTL(M103,1,7))</f>
        <v>46260</v>
      </c>
      <c r="M104" s="43">
        <f t="shared" si="32"/>
        <v>46260</v>
      </c>
      <c r="N104" s="42" t="s">
        <v>173</v>
      </c>
      <c r="O104" s="44">
        <f t="shared" si="33"/>
        <v>0.5</v>
      </c>
      <c r="P104" s="42" t="s">
        <v>170</v>
      </c>
      <c r="Q104" s="42" t="s">
        <v>171</v>
      </c>
      <c r="R104" s="47"/>
      <c r="S104" s="47"/>
      <c r="T104" s="43"/>
      <c r="U104" s="43"/>
      <c r="V104" s="42">
        <f t="shared" ca="1" si="22"/>
        <v>0</v>
      </c>
      <c r="W104" s="42" t="str">
        <f t="shared" ca="1" si="23"/>
        <v>Green</v>
      </c>
      <c r="X104" s="42" t="s">
        <v>162</v>
      </c>
      <c r="Y104" s="42"/>
      <c r="Z104" s="42"/>
      <c r="AA104" s="43">
        <v>46236</v>
      </c>
      <c r="AB104" s="42" t="s">
        <v>169</v>
      </c>
    </row>
    <row r="105" spans="1:28" ht="28" customHeight="1">
      <c r="A105" s="31" t="str">
        <f>Summary!A18</f>
        <v>RPA-015</v>
      </c>
      <c r="B105" s="31" t="str">
        <f>Summary!B18</f>
        <v>Aero Invoicing Posting</v>
      </c>
      <c r="C105" s="31" t="str">
        <f>Summary!C18</f>
        <v>Finance</v>
      </c>
      <c r="D105" s="31" t="str">
        <f>Summary!D18</f>
        <v>Bshaier</v>
      </c>
      <c r="E105" s="41">
        <f>Summary!E18</f>
        <v>13440</v>
      </c>
      <c r="F105" s="31" t="str">
        <f>Summary!F18</f>
        <v>MEDIUM</v>
      </c>
      <c r="G105" s="31" t="str">
        <f>Summary!G18</f>
        <v>Medium</v>
      </c>
      <c r="H105" s="31" t="str">
        <f>Summary!H18</f>
        <v>S2</v>
      </c>
      <c r="I105" s="31" t="str">
        <f>Summary!I18</f>
        <v>Assessed</v>
      </c>
      <c r="J105" s="42" t="s">
        <v>22</v>
      </c>
      <c r="K105" s="42">
        <f>IF(B105="","",Summary!O18)</f>
        <v>1</v>
      </c>
      <c r="L105" s="43">
        <f>IF(M104="","",WORKDAY.INTL(M104,1,7))</f>
        <v>46261</v>
      </c>
      <c r="M105" s="43">
        <f t="shared" si="32"/>
        <v>46261</v>
      </c>
      <c r="N105" s="42" t="s">
        <v>178</v>
      </c>
      <c r="O105" s="44">
        <f t="shared" si="33"/>
        <v>0</v>
      </c>
      <c r="P105" s="42" t="s">
        <v>85</v>
      </c>
      <c r="Q105" s="42" t="s">
        <v>172</v>
      </c>
      <c r="R105" s="47"/>
      <c r="S105" s="47"/>
      <c r="T105" s="43"/>
      <c r="U105" s="43"/>
      <c r="V105" s="42">
        <f t="shared" ca="1" si="22"/>
        <v>0</v>
      </c>
      <c r="W105" s="42" t="str">
        <f t="shared" ca="1" si="23"/>
        <v>Green</v>
      </c>
      <c r="X105" s="42" t="s">
        <v>162</v>
      </c>
      <c r="Y105" s="42"/>
      <c r="Z105" s="42"/>
      <c r="AA105" s="43">
        <v>46236</v>
      </c>
      <c r="AB105" s="42" t="s">
        <v>169</v>
      </c>
    </row>
    <row r="106" spans="1:28" ht="28" customHeight="1">
      <c r="A106" s="31" t="str">
        <f>Summary!A18</f>
        <v>RPA-015</v>
      </c>
      <c r="B106" s="31" t="str">
        <f>Summary!B18</f>
        <v>Aero Invoicing Posting</v>
      </c>
      <c r="C106" s="31" t="str">
        <f>Summary!C18</f>
        <v>Finance</v>
      </c>
      <c r="D106" s="31" t="str">
        <f>Summary!D18</f>
        <v>Bshaier</v>
      </c>
      <c r="E106" s="41">
        <f>Summary!E18</f>
        <v>13440</v>
      </c>
      <c r="F106" s="31" t="str">
        <f>Summary!F18</f>
        <v>MEDIUM</v>
      </c>
      <c r="G106" s="31" t="str">
        <f>Summary!G18</f>
        <v>Medium</v>
      </c>
      <c r="H106" s="31" t="str">
        <f>Summary!H18</f>
        <v>S2</v>
      </c>
      <c r="I106" s="31" t="str">
        <f>Summary!I18</f>
        <v>Assessed</v>
      </c>
      <c r="J106" s="42" t="s">
        <v>24</v>
      </c>
      <c r="K106" s="42">
        <f>IF(B106="","",Summary!P18)</f>
        <v>20</v>
      </c>
      <c r="L106" s="43">
        <f>IF(M105="","",WORKDAY.INTL(M105,1,7))</f>
        <v>46264</v>
      </c>
      <c r="M106" s="43">
        <f t="shared" si="32"/>
        <v>46289</v>
      </c>
      <c r="N106" s="42" t="s">
        <v>178</v>
      </c>
      <c r="O106" s="44">
        <f t="shared" si="33"/>
        <v>0</v>
      </c>
      <c r="P106" s="42" t="s">
        <v>186</v>
      </c>
      <c r="Q106" s="42" t="s">
        <v>175</v>
      </c>
      <c r="R106" s="47"/>
      <c r="S106" s="47"/>
      <c r="T106" s="43"/>
      <c r="U106" s="43"/>
      <c r="V106" s="42">
        <f t="shared" ca="1" si="22"/>
        <v>0</v>
      </c>
      <c r="W106" s="42" t="str">
        <f t="shared" ca="1" si="23"/>
        <v>Green</v>
      </c>
      <c r="X106" s="42" t="s">
        <v>162</v>
      </c>
      <c r="Y106" s="42"/>
      <c r="Z106" s="42"/>
      <c r="AA106" s="43">
        <v>46236</v>
      </c>
      <c r="AB106" s="42" t="s">
        <v>169</v>
      </c>
    </row>
    <row r="107" spans="1:28" ht="28" customHeight="1">
      <c r="A107" s="31" t="str">
        <f>Summary!A18</f>
        <v>RPA-015</v>
      </c>
      <c r="B107" s="31" t="str">
        <f>Summary!B18</f>
        <v>Aero Invoicing Posting</v>
      </c>
      <c r="C107" s="31" t="str">
        <f>Summary!C18</f>
        <v>Finance</v>
      </c>
      <c r="D107" s="31" t="str">
        <f>Summary!D18</f>
        <v>Bshaier</v>
      </c>
      <c r="E107" s="41">
        <f>Summary!E18</f>
        <v>13440</v>
      </c>
      <c r="F107" s="31" t="str">
        <f>Summary!F18</f>
        <v>MEDIUM</v>
      </c>
      <c r="G107" s="31" t="str">
        <f>Summary!G18</f>
        <v>Medium</v>
      </c>
      <c r="H107" s="31" t="str">
        <f>Summary!H18</f>
        <v>S2</v>
      </c>
      <c r="I107" s="31" t="str">
        <f>Summary!I18</f>
        <v>Assessed</v>
      </c>
      <c r="J107" s="42" t="s">
        <v>26</v>
      </c>
      <c r="K107" s="42">
        <f>IF(B107="","",Summary!Q18)</f>
        <v>1</v>
      </c>
      <c r="L107" s="43">
        <f>IF(M106="","",WORKDAY.INTL(M106,1,7))</f>
        <v>46292</v>
      </c>
      <c r="M107" s="43">
        <f t="shared" si="32"/>
        <v>46292</v>
      </c>
      <c r="N107" s="42" t="s">
        <v>178</v>
      </c>
      <c r="O107" s="44">
        <f t="shared" si="33"/>
        <v>0</v>
      </c>
      <c r="P107" s="42" t="s">
        <v>186</v>
      </c>
      <c r="Q107" s="42" t="s">
        <v>180</v>
      </c>
      <c r="R107" s="47"/>
      <c r="S107" s="47"/>
      <c r="T107" s="43"/>
      <c r="U107" s="43"/>
      <c r="V107" s="42">
        <f t="shared" ca="1" si="22"/>
        <v>0</v>
      </c>
      <c r="W107" s="42" t="str">
        <f t="shared" ca="1" si="23"/>
        <v>Green</v>
      </c>
      <c r="X107" s="42" t="s">
        <v>162</v>
      </c>
      <c r="Y107" s="42"/>
      <c r="Z107" s="42"/>
      <c r="AA107" s="43">
        <v>46236</v>
      </c>
      <c r="AB107" s="42" t="s">
        <v>169</v>
      </c>
    </row>
    <row r="108" spans="1:28" ht="28" customHeight="1">
      <c r="A108" s="31" t="str">
        <f>Summary!A18</f>
        <v>RPA-015</v>
      </c>
      <c r="B108" s="31" t="str">
        <f>Summary!B18</f>
        <v>Aero Invoicing Posting</v>
      </c>
      <c r="C108" s="31" t="str">
        <f>Summary!C18</f>
        <v>Finance</v>
      </c>
      <c r="D108" s="31" t="str">
        <f>Summary!D18</f>
        <v>Bshaier</v>
      </c>
      <c r="E108" s="41">
        <f>Summary!E18</f>
        <v>13440</v>
      </c>
      <c r="F108" s="31" t="str">
        <f>Summary!F18</f>
        <v>MEDIUM</v>
      </c>
      <c r="G108" s="31" t="str">
        <f>Summary!G18</f>
        <v>Medium</v>
      </c>
      <c r="H108" s="31" t="str">
        <f>Summary!H18</f>
        <v>S2</v>
      </c>
      <c r="I108" s="31" t="str">
        <f>Summary!I18</f>
        <v>Assessed</v>
      </c>
      <c r="J108" s="42" t="s">
        <v>27</v>
      </c>
      <c r="K108" s="42">
        <f>IF(B108="","",Summary!R18)</f>
        <v>1</v>
      </c>
      <c r="L108" s="43">
        <f>IF(M107="","",WORKDAY.INTL(M107,1,7))</f>
        <v>46293</v>
      </c>
      <c r="M108" s="43">
        <f t="shared" si="32"/>
        <v>46293</v>
      </c>
      <c r="N108" s="42" t="s">
        <v>178</v>
      </c>
      <c r="O108" s="44">
        <f t="shared" si="33"/>
        <v>0</v>
      </c>
      <c r="P108" s="42" t="s">
        <v>186</v>
      </c>
      <c r="Q108" s="42" t="s">
        <v>175</v>
      </c>
      <c r="R108" s="47"/>
      <c r="S108" s="47"/>
      <c r="T108" s="43"/>
      <c r="U108" s="43"/>
      <c r="V108" s="42">
        <f t="shared" ca="1" si="22"/>
        <v>0</v>
      </c>
      <c r="W108" s="42" t="str">
        <f t="shared" ca="1" si="23"/>
        <v>Green</v>
      </c>
      <c r="X108" s="42" t="s">
        <v>162</v>
      </c>
      <c r="Y108" s="42"/>
      <c r="Z108" s="42"/>
      <c r="AA108" s="43">
        <v>46236</v>
      </c>
      <c r="AB108" s="42" t="s">
        <v>169</v>
      </c>
    </row>
    <row r="109" spans="1:28" ht="28" customHeight="1">
      <c r="A109" s="30" t="str">
        <f>Summary!A19</f>
        <v>RPA-016</v>
      </c>
      <c r="B109" s="30" t="str">
        <f>Summary!B19</f>
        <v>Onboarding Documents</v>
      </c>
      <c r="C109" s="30" t="str">
        <f>Summary!C19</f>
        <v>HR</v>
      </c>
      <c r="D109" s="30" t="str">
        <f>Summary!D19</f>
        <v>Anas</v>
      </c>
      <c r="E109" s="38">
        <f>Summary!E19</f>
        <v>13440</v>
      </c>
      <c r="F109" s="30" t="str">
        <f>Summary!F19</f>
        <v>MEDIUM</v>
      </c>
      <c r="G109" s="30" t="str">
        <f>Summary!G19</f>
        <v>Medium</v>
      </c>
      <c r="H109" s="30" t="str">
        <f>Summary!H19</f>
        <v>S1</v>
      </c>
      <c r="I109" s="30" t="str">
        <f>Summary!I19</f>
        <v>Assessed</v>
      </c>
      <c r="J109" s="30" t="s">
        <v>161</v>
      </c>
      <c r="K109" s="30">
        <f>IF(B109="","",SUM(K110:K115))</f>
        <v>20</v>
      </c>
      <c r="L109" s="39">
        <f>IF(B109="","",L110)</f>
        <v>46261</v>
      </c>
      <c r="M109" s="39">
        <f>IF(B109="","",M115)</f>
        <v>46288</v>
      </c>
      <c r="N109" s="30" t="str">
        <f>IF(B109="","",IF(O109=100%,"Completed",IF(COUNTIF(N110:N115,"On Hold")&gt;0,"On Hold",IF(O109&gt;0%,"In Progress","Not Started"))))</f>
        <v>In Progress</v>
      </c>
      <c r="O109" s="44">
        <f>IF(B109="","",AVERAGE(O110:O115))</f>
        <v>0.25</v>
      </c>
      <c r="P109" s="40" t="s">
        <v>113</v>
      </c>
      <c r="Q109" s="40"/>
      <c r="R109" s="46"/>
      <c r="S109" s="46"/>
      <c r="T109" s="40" t="str">
        <f>IF(COUNT(T110:T115)=0,"",MIN(T110:T115))</f>
        <v/>
      </c>
      <c r="U109" s="40" t="str">
        <f>IF(COUNT(U110:U115)=0,"",MAX(U110:U115))</f>
        <v/>
      </c>
      <c r="V109" s="40">
        <f t="shared" ca="1" si="22"/>
        <v>0</v>
      </c>
      <c r="W109" s="40" t="str">
        <f t="shared" ca="1" si="23"/>
        <v>Green</v>
      </c>
      <c r="X109" s="40" t="s">
        <v>162</v>
      </c>
      <c r="Y109" s="40"/>
      <c r="Z109" s="40"/>
      <c r="AA109" s="40">
        <v>46236</v>
      </c>
      <c r="AB109" s="40" t="s">
        <v>169</v>
      </c>
    </row>
    <row r="110" spans="1:28" ht="28" customHeight="1">
      <c r="A110" s="31" t="str">
        <f>Summary!A19</f>
        <v>RPA-016</v>
      </c>
      <c r="B110" s="31" t="str">
        <f>Summary!B19</f>
        <v>Onboarding Documents</v>
      </c>
      <c r="C110" s="31" t="str">
        <f>Summary!C19</f>
        <v>HR</v>
      </c>
      <c r="D110" s="31" t="str">
        <f>Summary!D19</f>
        <v>Anas</v>
      </c>
      <c r="E110" s="41">
        <f>Summary!E19</f>
        <v>13440</v>
      </c>
      <c r="F110" s="31" t="str">
        <f>Summary!F19</f>
        <v>MEDIUM</v>
      </c>
      <c r="G110" s="31" t="str">
        <f>Summary!G19</f>
        <v>Medium</v>
      </c>
      <c r="H110" s="31" t="str">
        <f>Summary!H19</f>
        <v>S1</v>
      </c>
      <c r="I110" s="31" t="str">
        <f>Summary!I19</f>
        <v>Assessed</v>
      </c>
      <c r="J110" s="42" t="s">
        <v>18</v>
      </c>
      <c r="K110" s="42">
        <f>IF(B110="","",Summary!M19)</f>
        <v>1</v>
      </c>
      <c r="L110" s="43">
        <f>IF(Summary!$L19="","",Summary!$L19)</f>
        <v>46261</v>
      </c>
      <c r="M110" s="43">
        <f t="shared" ref="M110:M115" si="34">IF(OR(L110="",K110=""),"",WORKDAY.INTL(L110-1,K110,7))</f>
        <v>46261</v>
      </c>
      <c r="N110" s="42" t="s">
        <v>12</v>
      </c>
      <c r="O110" s="44">
        <f t="shared" ref="O110:O115" si="35">IF(B110="","",IF(N110="Completed",100%,IF(OR(N110="In Progress",N110="On Hold"),50%,0%)))</f>
        <v>1</v>
      </c>
      <c r="P110" s="42" t="s">
        <v>190</v>
      </c>
      <c r="Q110" s="42" t="s">
        <v>171</v>
      </c>
      <c r="R110" s="47"/>
      <c r="S110" s="47"/>
      <c r="T110" s="43"/>
      <c r="U110" s="43"/>
      <c r="V110" s="42">
        <f t="shared" ca="1" si="22"/>
        <v>0</v>
      </c>
      <c r="W110" s="42" t="str">
        <f t="shared" si="23"/>
        <v>Green</v>
      </c>
      <c r="X110" s="42" t="s">
        <v>162</v>
      </c>
      <c r="Y110" s="42"/>
      <c r="Z110" s="42"/>
      <c r="AA110" s="43">
        <v>46236</v>
      </c>
      <c r="AB110" s="42" t="s">
        <v>169</v>
      </c>
    </row>
    <row r="111" spans="1:28" ht="28" customHeight="1">
      <c r="A111" s="31" t="str">
        <f>Summary!A19</f>
        <v>RPA-016</v>
      </c>
      <c r="B111" s="31" t="str">
        <f>Summary!B19</f>
        <v>Onboarding Documents</v>
      </c>
      <c r="C111" s="31" t="str">
        <f>Summary!C19</f>
        <v>HR</v>
      </c>
      <c r="D111" s="31" t="str">
        <f>Summary!D19</f>
        <v>Anas</v>
      </c>
      <c r="E111" s="41">
        <f>Summary!E19</f>
        <v>13440</v>
      </c>
      <c r="F111" s="31" t="str">
        <f>Summary!F19</f>
        <v>MEDIUM</v>
      </c>
      <c r="G111" s="31" t="str">
        <f>Summary!G19</f>
        <v>Medium</v>
      </c>
      <c r="H111" s="31" t="str">
        <f>Summary!H19</f>
        <v>S1</v>
      </c>
      <c r="I111" s="31" t="str">
        <f>Summary!I19</f>
        <v>Assessed</v>
      </c>
      <c r="J111" s="42" t="s">
        <v>20</v>
      </c>
      <c r="K111" s="42">
        <f>IF(B111="","",Summary!N19)</f>
        <v>1</v>
      </c>
      <c r="L111" s="43">
        <f>IF(M110="","",WORKDAY.INTL(M110,1,7))</f>
        <v>46264</v>
      </c>
      <c r="M111" s="43">
        <f t="shared" si="34"/>
        <v>46264</v>
      </c>
      <c r="N111" s="42" t="s">
        <v>173</v>
      </c>
      <c r="O111" s="44">
        <f t="shared" si="35"/>
        <v>0.5</v>
      </c>
      <c r="P111" s="42" t="s">
        <v>190</v>
      </c>
      <c r="Q111" s="42" t="s">
        <v>171</v>
      </c>
      <c r="R111" s="47"/>
      <c r="S111" s="47"/>
      <c r="T111" s="43"/>
      <c r="U111" s="43"/>
      <c r="V111" s="42">
        <f t="shared" ca="1" si="22"/>
        <v>0</v>
      </c>
      <c r="W111" s="42" t="str">
        <f t="shared" ca="1" si="23"/>
        <v>Green</v>
      </c>
      <c r="X111" s="42" t="s">
        <v>162</v>
      </c>
      <c r="Y111" s="42"/>
      <c r="Z111" s="42"/>
      <c r="AA111" s="43">
        <v>46236</v>
      </c>
      <c r="AB111" s="42" t="s">
        <v>169</v>
      </c>
    </row>
    <row r="112" spans="1:28" ht="28" customHeight="1">
      <c r="A112" s="31" t="str">
        <f>Summary!A19</f>
        <v>RPA-016</v>
      </c>
      <c r="B112" s="31" t="str">
        <f>Summary!B19</f>
        <v>Onboarding Documents</v>
      </c>
      <c r="C112" s="31" t="str">
        <f>Summary!C19</f>
        <v>HR</v>
      </c>
      <c r="D112" s="31" t="str">
        <f>Summary!D19</f>
        <v>Anas</v>
      </c>
      <c r="E112" s="41">
        <f>Summary!E19</f>
        <v>13440</v>
      </c>
      <c r="F112" s="31" t="str">
        <f>Summary!F19</f>
        <v>MEDIUM</v>
      </c>
      <c r="G112" s="31" t="str">
        <f>Summary!G19</f>
        <v>Medium</v>
      </c>
      <c r="H112" s="31" t="str">
        <f>Summary!H19</f>
        <v>S1</v>
      </c>
      <c r="I112" s="31" t="str">
        <f>Summary!I19</f>
        <v>Assessed</v>
      </c>
      <c r="J112" s="42" t="s">
        <v>22</v>
      </c>
      <c r="K112" s="42">
        <f>IF(B112="","",Summary!O19)</f>
        <v>1</v>
      </c>
      <c r="L112" s="43">
        <f>IF(M111="","",WORKDAY.INTL(M111,1,7))</f>
        <v>46265</v>
      </c>
      <c r="M112" s="43">
        <f t="shared" si="34"/>
        <v>46265</v>
      </c>
      <c r="N112" s="42" t="s">
        <v>178</v>
      </c>
      <c r="O112" s="44">
        <f t="shared" si="35"/>
        <v>0</v>
      </c>
      <c r="P112" s="42" t="s">
        <v>113</v>
      </c>
      <c r="Q112" s="42" t="s">
        <v>172</v>
      </c>
      <c r="R112" s="47"/>
      <c r="S112" s="47"/>
      <c r="T112" s="43"/>
      <c r="U112" s="43"/>
      <c r="V112" s="42">
        <f t="shared" ca="1" si="22"/>
        <v>0</v>
      </c>
      <c r="W112" s="42" t="str">
        <f t="shared" ca="1" si="23"/>
        <v>Green</v>
      </c>
      <c r="X112" s="42" t="s">
        <v>162</v>
      </c>
      <c r="Y112" s="42"/>
      <c r="Z112" s="42"/>
      <c r="AA112" s="43">
        <v>46236</v>
      </c>
      <c r="AB112" s="42" t="s">
        <v>169</v>
      </c>
    </row>
    <row r="113" spans="1:28" ht="28" customHeight="1">
      <c r="A113" s="31" t="str">
        <f>Summary!A19</f>
        <v>RPA-016</v>
      </c>
      <c r="B113" s="31" t="str">
        <f>Summary!B19</f>
        <v>Onboarding Documents</v>
      </c>
      <c r="C113" s="31" t="str">
        <f>Summary!C19</f>
        <v>HR</v>
      </c>
      <c r="D113" s="31" t="str">
        <f>Summary!D19</f>
        <v>Anas</v>
      </c>
      <c r="E113" s="41">
        <f>Summary!E19</f>
        <v>13440</v>
      </c>
      <c r="F113" s="31" t="str">
        <f>Summary!F19</f>
        <v>MEDIUM</v>
      </c>
      <c r="G113" s="31" t="str">
        <f>Summary!G19</f>
        <v>Medium</v>
      </c>
      <c r="H113" s="31" t="str">
        <f>Summary!H19</f>
        <v>S1</v>
      </c>
      <c r="I113" s="31" t="str">
        <f>Summary!I19</f>
        <v>Assessed</v>
      </c>
      <c r="J113" s="42" t="s">
        <v>24</v>
      </c>
      <c r="K113" s="42">
        <f>IF(B113="","",Summary!P19)</f>
        <v>15</v>
      </c>
      <c r="L113" s="43">
        <f>IF(M112="","",WORKDAY.INTL(M112,1,7))</f>
        <v>46266</v>
      </c>
      <c r="M113" s="43">
        <f t="shared" si="34"/>
        <v>46286</v>
      </c>
      <c r="N113" s="42" t="s">
        <v>178</v>
      </c>
      <c r="O113" s="44">
        <f t="shared" si="35"/>
        <v>0</v>
      </c>
      <c r="P113" s="42" t="s">
        <v>174</v>
      </c>
      <c r="Q113" s="42" t="s">
        <v>175</v>
      </c>
      <c r="R113" s="47"/>
      <c r="S113" s="47"/>
      <c r="T113" s="43"/>
      <c r="U113" s="43"/>
      <c r="V113" s="42">
        <f t="shared" ca="1" si="22"/>
        <v>0</v>
      </c>
      <c r="W113" s="42" t="str">
        <f t="shared" ca="1" si="23"/>
        <v>Green</v>
      </c>
      <c r="X113" s="42" t="s">
        <v>162</v>
      </c>
      <c r="Y113" s="42"/>
      <c r="Z113" s="42"/>
      <c r="AA113" s="43">
        <v>46236</v>
      </c>
      <c r="AB113" s="42" t="s">
        <v>169</v>
      </c>
    </row>
    <row r="114" spans="1:28" ht="28" customHeight="1">
      <c r="A114" s="31" t="str">
        <f>Summary!A19</f>
        <v>RPA-016</v>
      </c>
      <c r="B114" s="31" t="str">
        <f>Summary!B19</f>
        <v>Onboarding Documents</v>
      </c>
      <c r="C114" s="31" t="str">
        <f>Summary!C19</f>
        <v>HR</v>
      </c>
      <c r="D114" s="31" t="str">
        <f>Summary!D19</f>
        <v>Anas</v>
      </c>
      <c r="E114" s="41">
        <f>Summary!E19</f>
        <v>13440</v>
      </c>
      <c r="F114" s="31" t="str">
        <f>Summary!F19</f>
        <v>MEDIUM</v>
      </c>
      <c r="G114" s="31" t="str">
        <f>Summary!G19</f>
        <v>Medium</v>
      </c>
      <c r="H114" s="31" t="str">
        <f>Summary!H19</f>
        <v>S1</v>
      </c>
      <c r="I114" s="31" t="str">
        <f>Summary!I19</f>
        <v>Assessed</v>
      </c>
      <c r="J114" s="42" t="s">
        <v>26</v>
      </c>
      <c r="K114" s="42">
        <f>IF(B114="","",Summary!Q19)</f>
        <v>1</v>
      </c>
      <c r="L114" s="43">
        <f>IF(M113="","",WORKDAY.INTL(M113,1,7))</f>
        <v>46287</v>
      </c>
      <c r="M114" s="43">
        <f t="shared" si="34"/>
        <v>46287</v>
      </c>
      <c r="N114" s="42" t="s">
        <v>178</v>
      </c>
      <c r="O114" s="44">
        <f t="shared" si="35"/>
        <v>0</v>
      </c>
      <c r="P114" s="42" t="s">
        <v>174</v>
      </c>
      <c r="Q114" s="42" t="s">
        <v>180</v>
      </c>
      <c r="R114" s="47"/>
      <c r="S114" s="47"/>
      <c r="T114" s="43"/>
      <c r="U114" s="43"/>
      <c r="V114" s="42">
        <f t="shared" ca="1" si="22"/>
        <v>0</v>
      </c>
      <c r="W114" s="42" t="str">
        <f t="shared" ca="1" si="23"/>
        <v>Green</v>
      </c>
      <c r="X114" s="42" t="s">
        <v>162</v>
      </c>
      <c r="Y114" s="42"/>
      <c r="Z114" s="42"/>
      <c r="AA114" s="43">
        <v>46236</v>
      </c>
      <c r="AB114" s="42" t="s">
        <v>169</v>
      </c>
    </row>
    <row r="115" spans="1:28" ht="28" customHeight="1">
      <c r="A115" s="31" t="str">
        <f>Summary!A19</f>
        <v>RPA-016</v>
      </c>
      <c r="B115" s="31" t="str">
        <f>Summary!B19</f>
        <v>Onboarding Documents</v>
      </c>
      <c r="C115" s="31" t="str">
        <f>Summary!C19</f>
        <v>HR</v>
      </c>
      <c r="D115" s="31" t="str">
        <f>Summary!D19</f>
        <v>Anas</v>
      </c>
      <c r="E115" s="41">
        <f>Summary!E19</f>
        <v>13440</v>
      </c>
      <c r="F115" s="31" t="str">
        <f>Summary!F19</f>
        <v>MEDIUM</v>
      </c>
      <c r="G115" s="31" t="str">
        <f>Summary!G19</f>
        <v>Medium</v>
      </c>
      <c r="H115" s="31" t="str">
        <f>Summary!H19</f>
        <v>S1</v>
      </c>
      <c r="I115" s="31" t="str">
        <f>Summary!I19</f>
        <v>Assessed</v>
      </c>
      <c r="J115" s="42" t="s">
        <v>27</v>
      </c>
      <c r="K115" s="42">
        <f>IF(B115="","",Summary!R19)</f>
        <v>1</v>
      </c>
      <c r="L115" s="43">
        <f>IF(M114="","",WORKDAY.INTL(M114,1,7))</f>
        <v>46288</v>
      </c>
      <c r="M115" s="43">
        <f t="shared" si="34"/>
        <v>46288</v>
      </c>
      <c r="N115" s="42" t="s">
        <v>178</v>
      </c>
      <c r="O115" s="44">
        <f t="shared" si="35"/>
        <v>0</v>
      </c>
      <c r="P115" s="42" t="s">
        <v>174</v>
      </c>
      <c r="Q115" s="42" t="s">
        <v>175</v>
      </c>
      <c r="R115" s="47"/>
      <c r="S115" s="47"/>
      <c r="T115" s="43"/>
      <c r="U115" s="43"/>
      <c r="V115" s="42">
        <f t="shared" ca="1" si="22"/>
        <v>0</v>
      </c>
      <c r="W115" s="42" t="str">
        <f t="shared" ca="1" si="23"/>
        <v>Green</v>
      </c>
      <c r="X115" s="42" t="s">
        <v>162</v>
      </c>
      <c r="Y115" s="42"/>
      <c r="Z115" s="42"/>
      <c r="AA115" s="43">
        <v>46236</v>
      </c>
      <c r="AB115" s="42" t="s">
        <v>169</v>
      </c>
    </row>
    <row r="116" spans="1:28" ht="28" customHeight="1">
      <c r="A116" s="30" t="str">
        <f>Summary!A20</f>
        <v>RPA-017</v>
      </c>
      <c r="B116" s="30" t="str">
        <f>Summary!B20</f>
        <v>Process 17 — Pending Identification</v>
      </c>
      <c r="C116" s="30">
        <f>Summary!C20</f>
        <v>0</v>
      </c>
      <c r="D116" s="30">
        <f>Summary!D20</f>
        <v>0</v>
      </c>
      <c r="E116" s="38">
        <f>Summary!E20</f>
        <v>0</v>
      </c>
      <c r="F116" s="30" t="str">
        <f>Summary!F20</f>
        <v>MEDIUM</v>
      </c>
      <c r="G116" s="30" t="str">
        <f>Summary!G20</f>
        <v>Medium</v>
      </c>
      <c r="H116" s="30" t="str">
        <f>Summary!H20</f>
        <v>S3</v>
      </c>
      <c r="I116" s="30" t="str">
        <f>Summary!I20</f>
        <v>Not identified</v>
      </c>
      <c r="J116" s="30" t="s">
        <v>161</v>
      </c>
      <c r="K116" s="30">
        <f>IF(B116="","",SUM(K117:K122))</f>
        <v>34</v>
      </c>
      <c r="L116" s="39">
        <f>IF(B116="","",L117)</f>
        <v>46317</v>
      </c>
      <c r="M116" s="39">
        <f>IF(B116="","",M122)</f>
        <v>46364</v>
      </c>
      <c r="N116" s="30" t="str">
        <f>IF(B116="","",IF(O116=100%,"Completed",IF(COUNTIF(N117:N122,"On Hold")&gt;0,"On Hold",IF(O116&gt;0%,"In Progress","Not Started"))))</f>
        <v>Not Started</v>
      </c>
      <c r="O116" s="44">
        <f>IF(B116="","",AVERAGE(O117:O122))</f>
        <v>0</v>
      </c>
      <c r="P116" s="40"/>
      <c r="Q116" s="40"/>
      <c r="R116" s="46"/>
      <c r="S116" s="46"/>
      <c r="T116" s="40" t="str">
        <f>IF(COUNT(T117:T122)=0,"",MIN(T117:T122))</f>
        <v/>
      </c>
      <c r="U116" s="40" t="str">
        <f>IF(COUNT(U117:U122)=0,"",MAX(U117:U122))</f>
        <v/>
      </c>
      <c r="V116" s="40">
        <f t="shared" ca="1" si="22"/>
        <v>0</v>
      </c>
      <c r="W116" s="40" t="str">
        <f t="shared" ca="1" si="23"/>
        <v>Green</v>
      </c>
      <c r="X116" s="40" t="s">
        <v>162</v>
      </c>
      <c r="Y116" s="40"/>
      <c r="Z116" s="40"/>
      <c r="AA116" s="40">
        <v>46236</v>
      </c>
      <c r="AB116" s="40" t="s">
        <v>169</v>
      </c>
    </row>
    <row r="117" spans="1:28" ht="28" customHeight="1">
      <c r="A117" s="31" t="str">
        <f>Summary!A20</f>
        <v>RPA-017</v>
      </c>
      <c r="B117" s="31" t="str">
        <f>Summary!B20</f>
        <v>Process 17 — Pending Identification</v>
      </c>
      <c r="C117" s="31">
        <f>Summary!C20</f>
        <v>0</v>
      </c>
      <c r="D117" s="31">
        <f>Summary!D20</f>
        <v>0</v>
      </c>
      <c r="E117" s="41">
        <f>Summary!E20</f>
        <v>0</v>
      </c>
      <c r="F117" s="31" t="str">
        <f>Summary!F20</f>
        <v>MEDIUM</v>
      </c>
      <c r="G117" s="31" t="str">
        <f>Summary!G20</f>
        <v>Medium</v>
      </c>
      <c r="H117" s="31" t="str">
        <f>Summary!H20</f>
        <v>S3</v>
      </c>
      <c r="I117" s="31" t="str">
        <f>Summary!I20</f>
        <v>Not identified</v>
      </c>
      <c r="J117" s="42" t="s">
        <v>18</v>
      </c>
      <c r="K117" s="42">
        <f>IF(B117="","",Summary!M20)</f>
        <v>20</v>
      </c>
      <c r="L117" s="43">
        <f>IF(Summary!$L20="","",Summary!$L20)</f>
        <v>46317</v>
      </c>
      <c r="M117" s="43">
        <f t="shared" ref="M117:M122" si="36">IF(OR(L117="",K117=""),"",WORKDAY.INTL(L117-1,K117,7))</f>
        <v>46344</v>
      </c>
      <c r="N117" s="42" t="s">
        <v>178</v>
      </c>
      <c r="O117" s="44">
        <f t="shared" ref="O117:O122" si="37">IF(B117="","",IF(N117="Completed",100%,IF(OR(N117="In Progress",N117="On Hold"),50%,0%)))</f>
        <v>0</v>
      </c>
      <c r="P117" s="42"/>
      <c r="Q117" s="42" t="s">
        <v>171</v>
      </c>
      <c r="R117" s="47"/>
      <c r="S117" s="47"/>
      <c r="T117" s="43"/>
      <c r="U117" s="43"/>
      <c r="V117" s="42">
        <f t="shared" ca="1" si="22"/>
        <v>0</v>
      </c>
      <c r="W117" s="42" t="str">
        <f t="shared" ca="1" si="23"/>
        <v>Green</v>
      </c>
      <c r="X117" s="42" t="s">
        <v>162</v>
      </c>
      <c r="Y117" s="42"/>
      <c r="Z117" s="42"/>
      <c r="AA117" s="43">
        <v>46236</v>
      </c>
      <c r="AB117" s="42" t="s">
        <v>169</v>
      </c>
    </row>
    <row r="118" spans="1:28" ht="28" customHeight="1">
      <c r="A118" s="31" t="str">
        <f>Summary!A20</f>
        <v>RPA-017</v>
      </c>
      <c r="B118" s="31" t="str">
        <f>Summary!B20</f>
        <v>Process 17 — Pending Identification</v>
      </c>
      <c r="C118" s="31">
        <f>Summary!C20</f>
        <v>0</v>
      </c>
      <c r="D118" s="31">
        <f>Summary!D20</f>
        <v>0</v>
      </c>
      <c r="E118" s="41">
        <f>Summary!E20</f>
        <v>0</v>
      </c>
      <c r="F118" s="31" t="str">
        <f>Summary!F20</f>
        <v>MEDIUM</v>
      </c>
      <c r="G118" s="31" t="str">
        <f>Summary!G20</f>
        <v>Medium</v>
      </c>
      <c r="H118" s="31" t="str">
        <f>Summary!H20</f>
        <v>S3</v>
      </c>
      <c r="I118" s="31" t="str">
        <f>Summary!I20</f>
        <v>Not identified</v>
      </c>
      <c r="J118" s="42" t="s">
        <v>20</v>
      </c>
      <c r="K118" s="42">
        <f>IF(B118="","",Summary!N20)</f>
        <v>1</v>
      </c>
      <c r="L118" s="43">
        <f>IF(M117="","",WORKDAY.INTL(M117,1,7))</f>
        <v>46345</v>
      </c>
      <c r="M118" s="43">
        <f t="shared" si="36"/>
        <v>46345</v>
      </c>
      <c r="N118" s="42" t="s">
        <v>178</v>
      </c>
      <c r="O118" s="44">
        <f t="shared" si="37"/>
        <v>0</v>
      </c>
      <c r="P118" s="42"/>
      <c r="Q118" s="42" t="s">
        <v>171</v>
      </c>
      <c r="R118" s="47"/>
      <c r="S118" s="47"/>
      <c r="T118" s="43"/>
      <c r="U118" s="43"/>
      <c r="V118" s="42">
        <f t="shared" ca="1" si="22"/>
        <v>0</v>
      </c>
      <c r="W118" s="42" t="str">
        <f t="shared" ca="1" si="23"/>
        <v>Green</v>
      </c>
      <c r="X118" s="42" t="s">
        <v>162</v>
      </c>
      <c r="Y118" s="42"/>
      <c r="Z118" s="42"/>
      <c r="AA118" s="43">
        <v>46236</v>
      </c>
      <c r="AB118" s="42" t="s">
        <v>169</v>
      </c>
    </row>
    <row r="119" spans="1:28" ht="28" customHeight="1">
      <c r="A119" s="31" t="str">
        <f>Summary!A20</f>
        <v>RPA-017</v>
      </c>
      <c r="B119" s="31" t="str">
        <f>Summary!B20</f>
        <v>Process 17 — Pending Identification</v>
      </c>
      <c r="C119" s="31">
        <f>Summary!C20</f>
        <v>0</v>
      </c>
      <c r="D119" s="31">
        <f>Summary!D20</f>
        <v>0</v>
      </c>
      <c r="E119" s="41">
        <f>Summary!E20</f>
        <v>0</v>
      </c>
      <c r="F119" s="31" t="str">
        <f>Summary!F20</f>
        <v>MEDIUM</v>
      </c>
      <c r="G119" s="31" t="str">
        <f>Summary!G20</f>
        <v>Medium</v>
      </c>
      <c r="H119" s="31" t="str">
        <f>Summary!H20</f>
        <v>S3</v>
      </c>
      <c r="I119" s="31" t="str">
        <f>Summary!I20</f>
        <v>Not identified</v>
      </c>
      <c r="J119" s="42" t="s">
        <v>22</v>
      </c>
      <c r="K119" s="42">
        <f>IF(B119="","",Summary!O20)</f>
        <v>1</v>
      </c>
      <c r="L119" s="43">
        <f>IF(M118="","",WORKDAY.INTL(M118,1,7))</f>
        <v>46348</v>
      </c>
      <c r="M119" s="43">
        <f t="shared" si="36"/>
        <v>46348</v>
      </c>
      <c r="N119" s="42" t="s">
        <v>178</v>
      </c>
      <c r="O119" s="44">
        <f t="shared" si="37"/>
        <v>0</v>
      </c>
      <c r="P119" s="42"/>
      <c r="Q119" s="42" t="s">
        <v>172</v>
      </c>
      <c r="R119" s="47"/>
      <c r="S119" s="47"/>
      <c r="T119" s="43"/>
      <c r="U119" s="43"/>
      <c r="V119" s="42">
        <f t="shared" ca="1" si="22"/>
        <v>0</v>
      </c>
      <c r="W119" s="42" t="str">
        <f t="shared" ca="1" si="23"/>
        <v>Green</v>
      </c>
      <c r="X119" s="42" t="s">
        <v>162</v>
      </c>
      <c r="Y119" s="42"/>
      <c r="Z119" s="42"/>
      <c r="AA119" s="43">
        <v>46236</v>
      </c>
      <c r="AB119" s="42" t="s">
        <v>169</v>
      </c>
    </row>
    <row r="120" spans="1:28" ht="28" customHeight="1">
      <c r="A120" s="31" t="str">
        <f>Summary!A20</f>
        <v>RPA-017</v>
      </c>
      <c r="B120" s="31" t="str">
        <f>Summary!B20</f>
        <v>Process 17 — Pending Identification</v>
      </c>
      <c r="C120" s="31">
        <f>Summary!C20</f>
        <v>0</v>
      </c>
      <c r="D120" s="31">
        <f>Summary!D20</f>
        <v>0</v>
      </c>
      <c r="E120" s="41">
        <f>Summary!E20</f>
        <v>0</v>
      </c>
      <c r="F120" s="31" t="str">
        <f>Summary!F20</f>
        <v>MEDIUM</v>
      </c>
      <c r="G120" s="31" t="str">
        <f>Summary!G20</f>
        <v>Medium</v>
      </c>
      <c r="H120" s="31" t="str">
        <f>Summary!H20</f>
        <v>S3</v>
      </c>
      <c r="I120" s="31" t="str">
        <f>Summary!I20</f>
        <v>Not identified</v>
      </c>
      <c r="J120" s="42" t="s">
        <v>24</v>
      </c>
      <c r="K120" s="42">
        <f>IF(B120="","",Summary!P20)</f>
        <v>10</v>
      </c>
      <c r="L120" s="43">
        <f>IF(M119="","",WORKDAY.INTL(M119,1,7))</f>
        <v>46349</v>
      </c>
      <c r="M120" s="43">
        <f t="shared" si="36"/>
        <v>46362</v>
      </c>
      <c r="N120" s="42" t="s">
        <v>178</v>
      </c>
      <c r="O120" s="44">
        <f t="shared" si="37"/>
        <v>0</v>
      </c>
      <c r="P120" s="42"/>
      <c r="Q120" s="42" t="s">
        <v>175</v>
      </c>
      <c r="R120" s="47"/>
      <c r="S120" s="47"/>
      <c r="T120" s="43"/>
      <c r="U120" s="43"/>
      <c r="V120" s="42">
        <f t="shared" ca="1" si="22"/>
        <v>0</v>
      </c>
      <c r="W120" s="42" t="str">
        <f t="shared" ca="1" si="23"/>
        <v>Green</v>
      </c>
      <c r="X120" s="42" t="s">
        <v>162</v>
      </c>
      <c r="Y120" s="42"/>
      <c r="Z120" s="42"/>
      <c r="AA120" s="43">
        <v>46236</v>
      </c>
      <c r="AB120" s="42" t="s">
        <v>169</v>
      </c>
    </row>
    <row r="121" spans="1:28" ht="28" customHeight="1">
      <c r="A121" s="31" t="str">
        <f>Summary!A20</f>
        <v>RPA-017</v>
      </c>
      <c r="B121" s="31" t="str">
        <f>Summary!B20</f>
        <v>Process 17 — Pending Identification</v>
      </c>
      <c r="C121" s="31">
        <f>Summary!C20</f>
        <v>0</v>
      </c>
      <c r="D121" s="31">
        <f>Summary!D20</f>
        <v>0</v>
      </c>
      <c r="E121" s="41">
        <f>Summary!E20</f>
        <v>0</v>
      </c>
      <c r="F121" s="31" t="str">
        <f>Summary!F20</f>
        <v>MEDIUM</v>
      </c>
      <c r="G121" s="31" t="str">
        <f>Summary!G20</f>
        <v>Medium</v>
      </c>
      <c r="H121" s="31" t="str">
        <f>Summary!H20</f>
        <v>S3</v>
      </c>
      <c r="I121" s="31" t="str">
        <f>Summary!I20</f>
        <v>Not identified</v>
      </c>
      <c r="J121" s="42" t="s">
        <v>26</v>
      </c>
      <c r="K121" s="42">
        <f>IF(B121="","",Summary!Q20)</f>
        <v>1</v>
      </c>
      <c r="L121" s="43">
        <f>IF(M120="","",WORKDAY.INTL(M120,1,7))</f>
        <v>46363</v>
      </c>
      <c r="M121" s="43">
        <f t="shared" si="36"/>
        <v>46363</v>
      </c>
      <c r="N121" s="42" t="s">
        <v>178</v>
      </c>
      <c r="O121" s="44">
        <f t="shared" si="37"/>
        <v>0</v>
      </c>
      <c r="P121" s="42"/>
      <c r="Q121" s="42" t="s">
        <v>180</v>
      </c>
      <c r="R121" s="47"/>
      <c r="S121" s="47"/>
      <c r="T121" s="43"/>
      <c r="U121" s="43"/>
      <c r="V121" s="42">
        <f t="shared" ca="1" si="22"/>
        <v>0</v>
      </c>
      <c r="W121" s="42" t="str">
        <f t="shared" ca="1" si="23"/>
        <v>Green</v>
      </c>
      <c r="X121" s="42" t="s">
        <v>162</v>
      </c>
      <c r="Y121" s="42"/>
      <c r="Z121" s="42"/>
      <c r="AA121" s="43">
        <v>46236</v>
      </c>
      <c r="AB121" s="42" t="s">
        <v>169</v>
      </c>
    </row>
    <row r="122" spans="1:28" ht="28" customHeight="1">
      <c r="A122" s="31" t="str">
        <f>Summary!A20</f>
        <v>RPA-017</v>
      </c>
      <c r="B122" s="31" t="str">
        <f>Summary!B20</f>
        <v>Process 17 — Pending Identification</v>
      </c>
      <c r="C122" s="31">
        <f>Summary!C20</f>
        <v>0</v>
      </c>
      <c r="D122" s="31">
        <f>Summary!D20</f>
        <v>0</v>
      </c>
      <c r="E122" s="41">
        <f>Summary!E20</f>
        <v>0</v>
      </c>
      <c r="F122" s="31" t="str">
        <f>Summary!F20</f>
        <v>MEDIUM</v>
      </c>
      <c r="G122" s="31" t="str">
        <f>Summary!G20</f>
        <v>Medium</v>
      </c>
      <c r="H122" s="31" t="str">
        <f>Summary!H20</f>
        <v>S3</v>
      </c>
      <c r="I122" s="31" t="str">
        <f>Summary!I20</f>
        <v>Not identified</v>
      </c>
      <c r="J122" s="42" t="s">
        <v>27</v>
      </c>
      <c r="K122" s="42">
        <f>IF(B122="","",Summary!R20)</f>
        <v>1</v>
      </c>
      <c r="L122" s="43">
        <f>IF(M121="","",WORKDAY.INTL(M121,1,7))</f>
        <v>46364</v>
      </c>
      <c r="M122" s="43">
        <f t="shared" si="36"/>
        <v>46364</v>
      </c>
      <c r="N122" s="42" t="s">
        <v>178</v>
      </c>
      <c r="O122" s="44">
        <f t="shared" si="37"/>
        <v>0</v>
      </c>
      <c r="P122" s="42"/>
      <c r="Q122" s="42" t="s">
        <v>175</v>
      </c>
      <c r="R122" s="47"/>
      <c r="S122" s="47"/>
      <c r="T122" s="43"/>
      <c r="U122" s="43"/>
      <c r="V122" s="42">
        <f t="shared" ca="1" si="22"/>
        <v>0</v>
      </c>
      <c r="W122" s="42" t="str">
        <f t="shared" ca="1" si="23"/>
        <v>Green</v>
      </c>
      <c r="X122" s="42" t="s">
        <v>162</v>
      </c>
      <c r="Y122" s="42"/>
      <c r="Z122" s="42"/>
      <c r="AA122" s="43">
        <v>46236</v>
      </c>
      <c r="AB122" s="42" t="s">
        <v>169</v>
      </c>
    </row>
    <row r="123" spans="1:28" ht="28" customHeight="1">
      <c r="A123" s="30" t="str">
        <f>Summary!A21</f>
        <v>RPA-018</v>
      </c>
      <c r="B123" s="30" t="str">
        <f>Summary!B21</f>
        <v>Process 18 — Pending Identification</v>
      </c>
      <c r="C123" s="30">
        <f>Summary!C21</f>
        <v>0</v>
      </c>
      <c r="D123" s="30">
        <f>Summary!D21</f>
        <v>0</v>
      </c>
      <c r="E123" s="38">
        <f>Summary!E21</f>
        <v>0</v>
      </c>
      <c r="F123" s="30">
        <f>Summary!F21</f>
        <v>0</v>
      </c>
      <c r="G123" s="30">
        <f>Summary!G21</f>
        <v>0</v>
      </c>
      <c r="H123" s="30" t="str">
        <f>Summary!H21</f>
        <v>S4</v>
      </c>
      <c r="I123" s="30" t="str">
        <f>Summary!I21</f>
        <v>Not identified</v>
      </c>
      <c r="J123" s="30" t="s">
        <v>161</v>
      </c>
      <c r="K123" s="30">
        <f>IF(B123="","",SUM(K124:K129))</f>
        <v>34</v>
      </c>
      <c r="L123" s="39">
        <f>IF(B123="","",L124)</f>
        <v>46308</v>
      </c>
      <c r="M123" s="39">
        <f>IF(B123="","",M129)</f>
        <v>46355</v>
      </c>
      <c r="N123" s="30" t="str">
        <f>IF(B123="","",IF(O123=100%,"Completed",IF(COUNTIF(N124:N129,"On Hold")&gt;0,"On Hold",IF(O123&gt;0%,"In Progress","Not Started"))))</f>
        <v>Not Started</v>
      </c>
      <c r="O123" s="44">
        <f>IF(B123="","",AVERAGE(O124:O129))</f>
        <v>0</v>
      </c>
      <c r="P123" s="40"/>
      <c r="Q123" s="40"/>
      <c r="R123" s="46"/>
      <c r="S123" s="46"/>
      <c r="T123" s="40" t="str">
        <f>IF(COUNT(T124:T129)=0,"",MIN(T124:T129))</f>
        <v/>
      </c>
      <c r="U123" s="40" t="str">
        <f>IF(COUNT(U124:U129)=0,"",MAX(U124:U129))</f>
        <v/>
      </c>
      <c r="V123" s="40">
        <f t="shared" ca="1" si="22"/>
        <v>0</v>
      </c>
      <c r="W123" s="40" t="str">
        <f t="shared" ca="1" si="23"/>
        <v>Green</v>
      </c>
      <c r="X123" s="40" t="s">
        <v>162</v>
      </c>
      <c r="Y123" s="40"/>
      <c r="Z123" s="40"/>
      <c r="AA123" s="40">
        <v>46236</v>
      </c>
      <c r="AB123" s="40" t="s">
        <v>169</v>
      </c>
    </row>
    <row r="124" spans="1:28" ht="28" customHeight="1">
      <c r="A124" s="31" t="str">
        <f>Summary!A21</f>
        <v>RPA-018</v>
      </c>
      <c r="B124" s="31" t="str">
        <f>Summary!B21</f>
        <v>Process 18 — Pending Identification</v>
      </c>
      <c r="C124" s="31">
        <f>Summary!C21</f>
        <v>0</v>
      </c>
      <c r="D124" s="31">
        <f>Summary!D21</f>
        <v>0</v>
      </c>
      <c r="E124" s="41">
        <f>Summary!E21</f>
        <v>0</v>
      </c>
      <c r="F124" s="31">
        <f>Summary!F21</f>
        <v>0</v>
      </c>
      <c r="G124" s="31">
        <f>Summary!G21</f>
        <v>0</v>
      </c>
      <c r="H124" s="31" t="str">
        <f>Summary!H21</f>
        <v>S4</v>
      </c>
      <c r="I124" s="31" t="str">
        <f>Summary!I21</f>
        <v>Not identified</v>
      </c>
      <c r="J124" s="42" t="s">
        <v>18</v>
      </c>
      <c r="K124" s="42">
        <f>IF(B124="","",Summary!M21)</f>
        <v>20</v>
      </c>
      <c r="L124" s="43">
        <f>IF(Summary!$L21="","",Summary!$L21)</f>
        <v>46308</v>
      </c>
      <c r="M124" s="43">
        <f t="shared" ref="M124:M129" si="38">IF(OR(L124="",K124=""),"",WORKDAY.INTL(L124-1,K124,7))</f>
        <v>46335</v>
      </c>
      <c r="N124" s="42" t="s">
        <v>178</v>
      </c>
      <c r="O124" s="44">
        <f t="shared" ref="O124:O129" si="39">IF(B124="","",IF(N124="Completed",100%,IF(OR(N124="In Progress",N124="On Hold"),50%,0%)))</f>
        <v>0</v>
      </c>
      <c r="P124" s="42"/>
      <c r="Q124" s="42" t="s">
        <v>171</v>
      </c>
      <c r="R124" s="47"/>
      <c r="S124" s="47"/>
      <c r="T124" s="43"/>
      <c r="U124" s="43"/>
      <c r="V124" s="42">
        <f t="shared" ca="1" si="22"/>
        <v>0</v>
      </c>
      <c r="W124" s="42" t="str">
        <f t="shared" ca="1" si="23"/>
        <v>Green</v>
      </c>
      <c r="X124" s="42" t="s">
        <v>162</v>
      </c>
      <c r="Y124" s="42"/>
      <c r="Z124" s="42"/>
      <c r="AA124" s="43">
        <v>46236</v>
      </c>
      <c r="AB124" s="42" t="s">
        <v>169</v>
      </c>
    </row>
    <row r="125" spans="1:28" ht="28" customHeight="1">
      <c r="A125" s="31" t="str">
        <f>Summary!A21</f>
        <v>RPA-018</v>
      </c>
      <c r="B125" s="31" t="str">
        <f>Summary!B21</f>
        <v>Process 18 — Pending Identification</v>
      </c>
      <c r="C125" s="31">
        <f>Summary!C21</f>
        <v>0</v>
      </c>
      <c r="D125" s="31">
        <f>Summary!D21</f>
        <v>0</v>
      </c>
      <c r="E125" s="41">
        <f>Summary!E21</f>
        <v>0</v>
      </c>
      <c r="F125" s="31">
        <f>Summary!F21</f>
        <v>0</v>
      </c>
      <c r="G125" s="31">
        <f>Summary!G21</f>
        <v>0</v>
      </c>
      <c r="H125" s="31" t="str">
        <f>Summary!H21</f>
        <v>S4</v>
      </c>
      <c r="I125" s="31" t="str">
        <f>Summary!I21</f>
        <v>Not identified</v>
      </c>
      <c r="J125" s="42" t="s">
        <v>20</v>
      </c>
      <c r="K125" s="42">
        <f>IF(B125="","",Summary!N21)</f>
        <v>1</v>
      </c>
      <c r="L125" s="43">
        <f>IF(M124="","",WORKDAY.INTL(M124,1,7))</f>
        <v>46336</v>
      </c>
      <c r="M125" s="43">
        <f t="shared" si="38"/>
        <v>46336</v>
      </c>
      <c r="N125" s="42" t="s">
        <v>178</v>
      </c>
      <c r="O125" s="44">
        <f t="shared" si="39"/>
        <v>0</v>
      </c>
      <c r="P125" s="42"/>
      <c r="Q125" s="42" t="s">
        <v>171</v>
      </c>
      <c r="R125" s="47"/>
      <c r="S125" s="47"/>
      <c r="T125" s="43"/>
      <c r="U125" s="43"/>
      <c r="V125" s="42">
        <f t="shared" ca="1" si="22"/>
        <v>0</v>
      </c>
      <c r="W125" s="42" t="str">
        <f t="shared" ca="1" si="23"/>
        <v>Green</v>
      </c>
      <c r="X125" s="42" t="s">
        <v>162</v>
      </c>
      <c r="Y125" s="42"/>
      <c r="Z125" s="42"/>
      <c r="AA125" s="43">
        <v>46236</v>
      </c>
      <c r="AB125" s="42" t="s">
        <v>169</v>
      </c>
    </row>
    <row r="126" spans="1:28" ht="28" customHeight="1">
      <c r="A126" s="31" t="str">
        <f>Summary!A21</f>
        <v>RPA-018</v>
      </c>
      <c r="B126" s="31" t="str">
        <f>Summary!B21</f>
        <v>Process 18 — Pending Identification</v>
      </c>
      <c r="C126" s="31">
        <f>Summary!C21</f>
        <v>0</v>
      </c>
      <c r="D126" s="31">
        <f>Summary!D21</f>
        <v>0</v>
      </c>
      <c r="E126" s="41">
        <f>Summary!E21</f>
        <v>0</v>
      </c>
      <c r="F126" s="31">
        <f>Summary!F21</f>
        <v>0</v>
      </c>
      <c r="G126" s="31">
        <f>Summary!G21</f>
        <v>0</v>
      </c>
      <c r="H126" s="31" t="str">
        <f>Summary!H21</f>
        <v>S4</v>
      </c>
      <c r="I126" s="31" t="str">
        <f>Summary!I21</f>
        <v>Not identified</v>
      </c>
      <c r="J126" s="42" t="s">
        <v>22</v>
      </c>
      <c r="K126" s="42">
        <f>IF(B126="","",Summary!O21)</f>
        <v>1</v>
      </c>
      <c r="L126" s="43">
        <f>IF(M125="","",WORKDAY.INTL(M125,1,7))</f>
        <v>46337</v>
      </c>
      <c r="M126" s="43">
        <f t="shared" si="38"/>
        <v>46337</v>
      </c>
      <c r="N126" s="42" t="s">
        <v>178</v>
      </c>
      <c r="O126" s="44">
        <f t="shared" si="39"/>
        <v>0</v>
      </c>
      <c r="P126" s="42"/>
      <c r="Q126" s="42" t="s">
        <v>172</v>
      </c>
      <c r="R126" s="47"/>
      <c r="S126" s="47"/>
      <c r="T126" s="43"/>
      <c r="U126" s="43"/>
      <c r="V126" s="42">
        <f t="shared" ca="1" si="22"/>
        <v>0</v>
      </c>
      <c r="W126" s="42" t="str">
        <f t="shared" ca="1" si="23"/>
        <v>Green</v>
      </c>
      <c r="X126" s="42" t="s">
        <v>162</v>
      </c>
      <c r="Y126" s="42"/>
      <c r="Z126" s="42"/>
      <c r="AA126" s="43">
        <v>46236</v>
      </c>
      <c r="AB126" s="42" t="s">
        <v>169</v>
      </c>
    </row>
    <row r="127" spans="1:28" ht="28" customHeight="1">
      <c r="A127" s="31" t="str">
        <f>Summary!A21</f>
        <v>RPA-018</v>
      </c>
      <c r="B127" s="31" t="str">
        <f>Summary!B21</f>
        <v>Process 18 — Pending Identification</v>
      </c>
      <c r="C127" s="31">
        <f>Summary!C21</f>
        <v>0</v>
      </c>
      <c r="D127" s="31">
        <f>Summary!D21</f>
        <v>0</v>
      </c>
      <c r="E127" s="41">
        <f>Summary!E21</f>
        <v>0</v>
      </c>
      <c r="F127" s="31">
        <f>Summary!F21</f>
        <v>0</v>
      </c>
      <c r="G127" s="31">
        <f>Summary!G21</f>
        <v>0</v>
      </c>
      <c r="H127" s="31" t="str">
        <f>Summary!H21</f>
        <v>S4</v>
      </c>
      <c r="I127" s="31" t="str">
        <f>Summary!I21</f>
        <v>Not identified</v>
      </c>
      <c r="J127" s="42" t="s">
        <v>24</v>
      </c>
      <c r="K127" s="42">
        <f>IF(B127="","",Summary!P21)</f>
        <v>10</v>
      </c>
      <c r="L127" s="43">
        <f>IF(M126="","",WORKDAY.INTL(M126,1,7))</f>
        <v>46338</v>
      </c>
      <c r="M127" s="43">
        <f t="shared" si="38"/>
        <v>46351</v>
      </c>
      <c r="N127" s="42" t="s">
        <v>178</v>
      </c>
      <c r="O127" s="44">
        <f t="shared" si="39"/>
        <v>0</v>
      </c>
      <c r="P127" s="42"/>
      <c r="Q127" s="42" t="s">
        <v>175</v>
      </c>
      <c r="R127" s="47"/>
      <c r="S127" s="47"/>
      <c r="T127" s="43"/>
      <c r="U127" s="43"/>
      <c r="V127" s="42">
        <f t="shared" ca="1" si="22"/>
        <v>0</v>
      </c>
      <c r="W127" s="42" t="str">
        <f t="shared" ca="1" si="23"/>
        <v>Green</v>
      </c>
      <c r="X127" s="42" t="s">
        <v>162</v>
      </c>
      <c r="Y127" s="42"/>
      <c r="Z127" s="42"/>
      <c r="AA127" s="43">
        <v>46236</v>
      </c>
      <c r="AB127" s="42" t="s">
        <v>169</v>
      </c>
    </row>
    <row r="128" spans="1:28" ht="28" customHeight="1">
      <c r="A128" s="31" t="str">
        <f>Summary!A21</f>
        <v>RPA-018</v>
      </c>
      <c r="B128" s="31" t="str">
        <f>Summary!B21</f>
        <v>Process 18 — Pending Identification</v>
      </c>
      <c r="C128" s="31">
        <f>Summary!C21</f>
        <v>0</v>
      </c>
      <c r="D128" s="31">
        <f>Summary!D21</f>
        <v>0</v>
      </c>
      <c r="E128" s="41">
        <f>Summary!E21</f>
        <v>0</v>
      </c>
      <c r="F128" s="31">
        <f>Summary!F21</f>
        <v>0</v>
      </c>
      <c r="G128" s="31">
        <f>Summary!G21</f>
        <v>0</v>
      </c>
      <c r="H128" s="31" t="str">
        <f>Summary!H21</f>
        <v>S4</v>
      </c>
      <c r="I128" s="31" t="str">
        <f>Summary!I21</f>
        <v>Not identified</v>
      </c>
      <c r="J128" s="42" t="s">
        <v>26</v>
      </c>
      <c r="K128" s="42">
        <f>IF(B128="","",Summary!Q21)</f>
        <v>1</v>
      </c>
      <c r="L128" s="43">
        <f>IF(M127="","",WORKDAY.INTL(M127,1,7))</f>
        <v>46352</v>
      </c>
      <c r="M128" s="43">
        <f t="shared" si="38"/>
        <v>46352</v>
      </c>
      <c r="N128" s="42" t="s">
        <v>178</v>
      </c>
      <c r="O128" s="44">
        <f t="shared" si="39"/>
        <v>0</v>
      </c>
      <c r="P128" s="42"/>
      <c r="Q128" s="42" t="s">
        <v>180</v>
      </c>
      <c r="R128" s="47"/>
      <c r="S128" s="47"/>
      <c r="T128" s="43"/>
      <c r="U128" s="43"/>
      <c r="V128" s="42">
        <f t="shared" ca="1" si="22"/>
        <v>0</v>
      </c>
      <c r="W128" s="42" t="str">
        <f t="shared" ca="1" si="23"/>
        <v>Green</v>
      </c>
      <c r="X128" s="42" t="s">
        <v>162</v>
      </c>
      <c r="Y128" s="42"/>
      <c r="Z128" s="42"/>
      <c r="AA128" s="43">
        <v>46236</v>
      </c>
      <c r="AB128" s="42" t="s">
        <v>169</v>
      </c>
    </row>
    <row r="129" spans="1:28" ht="28" customHeight="1">
      <c r="A129" s="31" t="str">
        <f>Summary!A21</f>
        <v>RPA-018</v>
      </c>
      <c r="B129" s="31" t="str">
        <f>Summary!B21</f>
        <v>Process 18 — Pending Identification</v>
      </c>
      <c r="C129" s="31">
        <f>Summary!C21</f>
        <v>0</v>
      </c>
      <c r="D129" s="31">
        <f>Summary!D21</f>
        <v>0</v>
      </c>
      <c r="E129" s="41">
        <f>Summary!E21</f>
        <v>0</v>
      </c>
      <c r="F129" s="31">
        <f>Summary!F21</f>
        <v>0</v>
      </c>
      <c r="G129" s="31">
        <f>Summary!G21</f>
        <v>0</v>
      </c>
      <c r="H129" s="31" t="str">
        <f>Summary!H21</f>
        <v>S4</v>
      </c>
      <c r="I129" s="31" t="str">
        <f>Summary!I21</f>
        <v>Not identified</v>
      </c>
      <c r="J129" s="42" t="s">
        <v>27</v>
      </c>
      <c r="K129" s="42">
        <f>IF(B129="","",Summary!R21)</f>
        <v>1</v>
      </c>
      <c r="L129" s="43">
        <f>IF(M128="","",WORKDAY.INTL(M128,1,7))</f>
        <v>46355</v>
      </c>
      <c r="M129" s="43">
        <f t="shared" si="38"/>
        <v>46355</v>
      </c>
      <c r="N129" s="42" t="s">
        <v>178</v>
      </c>
      <c r="O129" s="44">
        <f t="shared" si="39"/>
        <v>0</v>
      </c>
      <c r="P129" s="42"/>
      <c r="Q129" s="42" t="s">
        <v>175</v>
      </c>
      <c r="R129" s="47"/>
      <c r="S129" s="47"/>
      <c r="T129" s="43"/>
      <c r="U129" s="43"/>
      <c r="V129" s="42">
        <f t="shared" ca="1" si="22"/>
        <v>0</v>
      </c>
      <c r="W129" s="42" t="str">
        <f t="shared" ca="1" si="23"/>
        <v>Green</v>
      </c>
      <c r="X129" s="42" t="s">
        <v>162</v>
      </c>
      <c r="Y129" s="42"/>
      <c r="Z129" s="42"/>
      <c r="AA129" s="43">
        <v>46236</v>
      </c>
      <c r="AB129" s="42" t="s">
        <v>169</v>
      </c>
    </row>
    <row r="130" spans="1:28" ht="28" customHeight="1">
      <c r="A130" s="30" t="str">
        <f>Summary!A22</f>
        <v>RPA-019</v>
      </c>
      <c r="B130" s="30" t="str">
        <f>Summary!B22</f>
        <v>Process 19 — Pending Identification</v>
      </c>
      <c r="C130" s="30">
        <f>Summary!C22</f>
        <v>0</v>
      </c>
      <c r="D130" s="30">
        <f>Summary!D22</f>
        <v>0</v>
      </c>
      <c r="E130" s="38">
        <f>Summary!E22</f>
        <v>0</v>
      </c>
      <c r="F130" s="30">
        <f>Summary!F22</f>
        <v>0</v>
      </c>
      <c r="G130" s="30">
        <f>Summary!G22</f>
        <v>0</v>
      </c>
      <c r="H130" s="30" t="str">
        <f>Summary!H22</f>
        <v>S5</v>
      </c>
      <c r="I130" s="30" t="str">
        <f>Summary!I22</f>
        <v>Not identified</v>
      </c>
      <c r="J130" s="30" t="s">
        <v>161</v>
      </c>
      <c r="K130" s="30">
        <f>IF(B130="","",SUM(K131:K136))</f>
        <v>34</v>
      </c>
      <c r="L130" s="39">
        <f>IF(B130="","",L131)</f>
        <v>46331</v>
      </c>
      <c r="M130" s="39">
        <f>IF(B130="","",M136)</f>
        <v>46378</v>
      </c>
      <c r="N130" s="30" t="str">
        <f>IF(B130="","",IF(O130=100%,"Completed",IF(COUNTIF(N131:N136,"On Hold")&gt;0,"On Hold",IF(O130&gt;0%,"In Progress","Not Started"))))</f>
        <v>Not Started</v>
      </c>
      <c r="O130" s="44">
        <f>IF(B130="","",AVERAGE(O131:O136))</f>
        <v>0</v>
      </c>
      <c r="P130" s="40"/>
      <c r="Q130" s="40"/>
      <c r="R130" s="46"/>
      <c r="S130" s="46"/>
      <c r="T130" s="40" t="str">
        <f>IF(COUNT(T131:T136)=0,"",MIN(T131:T136))</f>
        <v/>
      </c>
      <c r="U130" s="40" t="str">
        <f>IF(COUNT(U131:U136)=0,"",MAX(U131:U136))</f>
        <v/>
      </c>
      <c r="V130" s="40">
        <f t="shared" ca="1" si="22"/>
        <v>0</v>
      </c>
      <c r="W130" s="40" t="str">
        <f t="shared" ca="1" si="23"/>
        <v>Green</v>
      </c>
      <c r="X130" s="40" t="s">
        <v>162</v>
      </c>
      <c r="Y130" s="40"/>
      <c r="Z130" s="40"/>
      <c r="AA130" s="40">
        <v>46236</v>
      </c>
      <c r="AB130" s="40" t="s">
        <v>169</v>
      </c>
    </row>
    <row r="131" spans="1:28" ht="28" customHeight="1">
      <c r="A131" s="31" t="str">
        <f>Summary!A22</f>
        <v>RPA-019</v>
      </c>
      <c r="B131" s="31" t="str">
        <f>Summary!B22</f>
        <v>Process 19 — Pending Identification</v>
      </c>
      <c r="C131" s="31">
        <f>Summary!C22</f>
        <v>0</v>
      </c>
      <c r="D131" s="31">
        <f>Summary!D22</f>
        <v>0</v>
      </c>
      <c r="E131" s="41">
        <f>Summary!E22</f>
        <v>0</v>
      </c>
      <c r="F131" s="31">
        <f>Summary!F22</f>
        <v>0</v>
      </c>
      <c r="G131" s="31">
        <f>Summary!G22</f>
        <v>0</v>
      </c>
      <c r="H131" s="31" t="str">
        <f>Summary!H22</f>
        <v>S5</v>
      </c>
      <c r="I131" s="31" t="str">
        <f>Summary!I22</f>
        <v>Not identified</v>
      </c>
      <c r="J131" s="42" t="s">
        <v>18</v>
      </c>
      <c r="K131" s="42">
        <f>IF(B131="","",Summary!M22)</f>
        <v>20</v>
      </c>
      <c r="L131" s="43">
        <f>IF(Summary!$L22="","",Summary!$L22)</f>
        <v>46331</v>
      </c>
      <c r="M131" s="43">
        <f t="shared" ref="M131:M136" si="40">IF(OR(L131="",K131=""),"",WORKDAY.INTL(L131-1,K131,7))</f>
        <v>46358</v>
      </c>
      <c r="N131" s="42" t="s">
        <v>178</v>
      </c>
      <c r="O131" s="44">
        <f t="shared" ref="O131:O136" si="41">IF(B131="","",IF(N131="Completed",100%,IF(OR(N131="In Progress",N131="On Hold"),50%,0%)))</f>
        <v>0</v>
      </c>
      <c r="P131" s="42"/>
      <c r="Q131" s="42" t="s">
        <v>171</v>
      </c>
      <c r="R131" s="47"/>
      <c r="S131" s="47"/>
      <c r="T131" s="43"/>
      <c r="U131" s="43"/>
      <c r="V131" s="42">
        <f t="shared" ca="1" si="22"/>
        <v>0</v>
      </c>
      <c r="W131" s="42" t="str">
        <f t="shared" ca="1" si="23"/>
        <v>Green</v>
      </c>
      <c r="X131" s="42" t="s">
        <v>162</v>
      </c>
      <c r="Y131" s="42"/>
      <c r="Z131" s="42"/>
      <c r="AA131" s="43">
        <v>46236</v>
      </c>
      <c r="AB131" s="42" t="s">
        <v>169</v>
      </c>
    </row>
    <row r="132" spans="1:28" ht="28" customHeight="1">
      <c r="A132" s="31" t="str">
        <f>Summary!A22</f>
        <v>RPA-019</v>
      </c>
      <c r="B132" s="31" t="str">
        <f>Summary!B22</f>
        <v>Process 19 — Pending Identification</v>
      </c>
      <c r="C132" s="31">
        <f>Summary!C22</f>
        <v>0</v>
      </c>
      <c r="D132" s="31">
        <f>Summary!D22</f>
        <v>0</v>
      </c>
      <c r="E132" s="41">
        <f>Summary!E22</f>
        <v>0</v>
      </c>
      <c r="F132" s="31">
        <f>Summary!F22</f>
        <v>0</v>
      </c>
      <c r="G132" s="31">
        <f>Summary!G22</f>
        <v>0</v>
      </c>
      <c r="H132" s="31" t="str">
        <f>Summary!H22</f>
        <v>S5</v>
      </c>
      <c r="I132" s="31" t="str">
        <f>Summary!I22</f>
        <v>Not identified</v>
      </c>
      <c r="J132" s="42" t="s">
        <v>20</v>
      </c>
      <c r="K132" s="42">
        <f>IF(B132="","",Summary!N22)</f>
        <v>1</v>
      </c>
      <c r="L132" s="43">
        <f>IF(M131="","",WORKDAY.INTL(M131,1,7))</f>
        <v>46359</v>
      </c>
      <c r="M132" s="43">
        <f t="shared" si="40"/>
        <v>46359</v>
      </c>
      <c r="N132" s="42" t="s">
        <v>178</v>
      </c>
      <c r="O132" s="44">
        <f t="shared" si="41"/>
        <v>0</v>
      </c>
      <c r="P132" s="42"/>
      <c r="Q132" s="42" t="s">
        <v>171</v>
      </c>
      <c r="R132" s="47"/>
      <c r="S132" s="47"/>
      <c r="T132" s="43"/>
      <c r="U132" s="43"/>
      <c r="V132" s="42">
        <f t="shared" ref="V132:V195" ca="1" si="42">IF(B132="","",IF(N132="Cancelled","",IF(U132&lt;&gt;"",U132-M132,IF(AND(M132&lt;&gt;"",N132&lt;&gt;"Completed",TODAY()&gt;M132),TODAY()-M132,0))))</f>
        <v>0</v>
      </c>
      <c r="W132" s="42" t="str">
        <f t="shared" ref="W132:W195" ca="1" si="43">IF(B132="","",IF(N132="Cancelled","Gray",IF(N132="On Hold","Red",IF(N132="Completed","Green",IF(V132&gt;5,"Red",IF(V132&gt;0,"Amber","Green"))))))</f>
        <v>Green</v>
      </c>
      <c r="X132" s="42" t="s">
        <v>162</v>
      </c>
      <c r="Y132" s="42"/>
      <c r="Z132" s="42"/>
      <c r="AA132" s="43">
        <v>46236</v>
      </c>
      <c r="AB132" s="42" t="s">
        <v>169</v>
      </c>
    </row>
    <row r="133" spans="1:28" ht="28" customHeight="1">
      <c r="A133" s="31" t="str">
        <f>Summary!A22</f>
        <v>RPA-019</v>
      </c>
      <c r="B133" s="31" t="str">
        <f>Summary!B22</f>
        <v>Process 19 — Pending Identification</v>
      </c>
      <c r="C133" s="31">
        <f>Summary!C22</f>
        <v>0</v>
      </c>
      <c r="D133" s="31">
        <f>Summary!D22</f>
        <v>0</v>
      </c>
      <c r="E133" s="41">
        <f>Summary!E22</f>
        <v>0</v>
      </c>
      <c r="F133" s="31">
        <f>Summary!F22</f>
        <v>0</v>
      </c>
      <c r="G133" s="31">
        <f>Summary!G22</f>
        <v>0</v>
      </c>
      <c r="H133" s="31" t="str">
        <f>Summary!H22</f>
        <v>S5</v>
      </c>
      <c r="I133" s="31" t="str">
        <f>Summary!I22</f>
        <v>Not identified</v>
      </c>
      <c r="J133" s="42" t="s">
        <v>22</v>
      </c>
      <c r="K133" s="42">
        <f>IF(B133="","",Summary!O22)</f>
        <v>1</v>
      </c>
      <c r="L133" s="43">
        <f>IF(M132="","",WORKDAY.INTL(M132,1,7))</f>
        <v>46362</v>
      </c>
      <c r="M133" s="43">
        <f t="shared" si="40"/>
        <v>46362</v>
      </c>
      <c r="N133" s="42" t="s">
        <v>178</v>
      </c>
      <c r="O133" s="44">
        <f t="shared" si="41"/>
        <v>0</v>
      </c>
      <c r="P133" s="42"/>
      <c r="Q133" s="42" t="s">
        <v>172</v>
      </c>
      <c r="R133" s="47"/>
      <c r="S133" s="47"/>
      <c r="T133" s="43"/>
      <c r="U133" s="43"/>
      <c r="V133" s="42">
        <f t="shared" ca="1" si="42"/>
        <v>0</v>
      </c>
      <c r="W133" s="42" t="str">
        <f t="shared" ca="1" si="43"/>
        <v>Green</v>
      </c>
      <c r="X133" s="42" t="s">
        <v>162</v>
      </c>
      <c r="Y133" s="42"/>
      <c r="Z133" s="42"/>
      <c r="AA133" s="43">
        <v>46236</v>
      </c>
      <c r="AB133" s="42" t="s">
        <v>169</v>
      </c>
    </row>
    <row r="134" spans="1:28" ht="28" customHeight="1">
      <c r="A134" s="31" t="str">
        <f>Summary!A22</f>
        <v>RPA-019</v>
      </c>
      <c r="B134" s="31" t="str">
        <f>Summary!B22</f>
        <v>Process 19 — Pending Identification</v>
      </c>
      <c r="C134" s="31">
        <f>Summary!C22</f>
        <v>0</v>
      </c>
      <c r="D134" s="31">
        <f>Summary!D22</f>
        <v>0</v>
      </c>
      <c r="E134" s="41">
        <f>Summary!E22</f>
        <v>0</v>
      </c>
      <c r="F134" s="31">
        <f>Summary!F22</f>
        <v>0</v>
      </c>
      <c r="G134" s="31">
        <f>Summary!G22</f>
        <v>0</v>
      </c>
      <c r="H134" s="31" t="str">
        <f>Summary!H22</f>
        <v>S5</v>
      </c>
      <c r="I134" s="31" t="str">
        <f>Summary!I22</f>
        <v>Not identified</v>
      </c>
      <c r="J134" s="42" t="s">
        <v>24</v>
      </c>
      <c r="K134" s="42">
        <f>IF(B134="","",Summary!P22)</f>
        <v>10</v>
      </c>
      <c r="L134" s="43">
        <f>IF(M133="","",WORKDAY.INTL(M133,1,7))</f>
        <v>46363</v>
      </c>
      <c r="M134" s="43">
        <f t="shared" si="40"/>
        <v>46376</v>
      </c>
      <c r="N134" s="42" t="s">
        <v>178</v>
      </c>
      <c r="O134" s="44">
        <f t="shared" si="41"/>
        <v>0</v>
      </c>
      <c r="P134" s="42"/>
      <c r="Q134" s="42" t="s">
        <v>175</v>
      </c>
      <c r="R134" s="47"/>
      <c r="S134" s="47"/>
      <c r="T134" s="43"/>
      <c r="U134" s="43"/>
      <c r="V134" s="42">
        <f t="shared" ca="1" si="42"/>
        <v>0</v>
      </c>
      <c r="W134" s="42" t="str">
        <f t="shared" ca="1" si="43"/>
        <v>Green</v>
      </c>
      <c r="X134" s="42" t="s">
        <v>162</v>
      </c>
      <c r="Y134" s="42"/>
      <c r="Z134" s="42"/>
      <c r="AA134" s="43">
        <v>46236</v>
      </c>
      <c r="AB134" s="42" t="s">
        <v>169</v>
      </c>
    </row>
    <row r="135" spans="1:28" ht="28" customHeight="1">
      <c r="A135" s="31" t="str">
        <f>Summary!A22</f>
        <v>RPA-019</v>
      </c>
      <c r="B135" s="31" t="str">
        <f>Summary!B22</f>
        <v>Process 19 — Pending Identification</v>
      </c>
      <c r="C135" s="31">
        <f>Summary!C22</f>
        <v>0</v>
      </c>
      <c r="D135" s="31">
        <f>Summary!D22</f>
        <v>0</v>
      </c>
      <c r="E135" s="41">
        <f>Summary!E22</f>
        <v>0</v>
      </c>
      <c r="F135" s="31">
        <f>Summary!F22</f>
        <v>0</v>
      </c>
      <c r="G135" s="31">
        <f>Summary!G22</f>
        <v>0</v>
      </c>
      <c r="H135" s="31" t="str">
        <f>Summary!H22</f>
        <v>S5</v>
      </c>
      <c r="I135" s="31" t="str">
        <f>Summary!I22</f>
        <v>Not identified</v>
      </c>
      <c r="J135" s="42" t="s">
        <v>26</v>
      </c>
      <c r="K135" s="42">
        <f>IF(B135="","",Summary!Q22)</f>
        <v>1</v>
      </c>
      <c r="L135" s="43">
        <f>IF(M134="","",WORKDAY.INTL(M134,1,7))</f>
        <v>46377</v>
      </c>
      <c r="M135" s="43">
        <f t="shared" si="40"/>
        <v>46377</v>
      </c>
      <c r="N135" s="42" t="s">
        <v>178</v>
      </c>
      <c r="O135" s="44">
        <f t="shared" si="41"/>
        <v>0</v>
      </c>
      <c r="P135" s="42"/>
      <c r="Q135" s="42" t="s">
        <v>180</v>
      </c>
      <c r="R135" s="47"/>
      <c r="S135" s="47"/>
      <c r="T135" s="43"/>
      <c r="U135" s="43"/>
      <c r="V135" s="42">
        <f t="shared" ca="1" si="42"/>
        <v>0</v>
      </c>
      <c r="W135" s="42" t="str">
        <f t="shared" ca="1" si="43"/>
        <v>Green</v>
      </c>
      <c r="X135" s="42" t="s">
        <v>162</v>
      </c>
      <c r="Y135" s="42"/>
      <c r="Z135" s="42"/>
      <c r="AA135" s="43">
        <v>46236</v>
      </c>
      <c r="AB135" s="42" t="s">
        <v>169</v>
      </c>
    </row>
    <row r="136" spans="1:28" ht="28" customHeight="1">
      <c r="A136" s="31" t="str">
        <f>Summary!A22</f>
        <v>RPA-019</v>
      </c>
      <c r="B136" s="31" t="str">
        <f>Summary!B22</f>
        <v>Process 19 — Pending Identification</v>
      </c>
      <c r="C136" s="31">
        <f>Summary!C22</f>
        <v>0</v>
      </c>
      <c r="D136" s="31">
        <f>Summary!D22</f>
        <v>0</v>
      </c>
      <c r="E136" s="41">
        <f>Summary!E22</f>
        <v>0</v>
      </c>
      <c r="F136" s="31">
        <f>Summary!F22</f>
        <v>0</v>
      </c>
      <c r="G136" s="31">
        <f>Summary!G22</f>
        <v>0</v>
      </c>
      <c r="H136" s="31" t="str">
        <f>Summary!H22</f>
        <v>S5</v>
      </c>
      <c r="I136" s="31" t="str">
        <f>Summary!I22</f>
        <v>Not identified</v>
      </c>
      <c r="J136" s="42" t="s">
        <v>27</v>
      </c>
      <c r="K136" s="42">
        <f>IF(B136="","",Summary!R22)</f>
        <v>1</v>
      </c>
      <c r="L136" s="43">
        <f>IF(M135="","",WORKDAY.INTL(M135,1,7))</f>
        <v>46378</v>
      </c>
      <c r="M136" s="43">
        <f t="shared" si="40"/>
        <v>46378</v>
      </c>
      <c r="N136" s="42" t="s">
        <v>178</v>
      </c>
      <c r="O136" s="44">
        <f t="shared" si="41"/>
        <v>0</v>
      </c>
      <c r="P136" s="42"/>
      <c r="Q136" s="42" t="s">
        <v>175</v>
      </c>
      <c r="R136" s="47"/>
      <c r="S136" s="47"/>
      <c r="T136" s="43"/>
      <c r="U136" s="43"/>
      <c r="V136" s="42">
        <f t="shared" ca="1" si="42"/>
        <v>0</v>
      </c>
      <c r="W136" s="42" t="str">
        <f t="shared" ca="1" si="43"/>
        <v>Green</v>
      </c>
      <c r="X136" s="42" t="s">
        <v>162</v>
      </c>
      <c r="Y136" s="42"/>
      <c r="Z136" s="42"/>
      <c r="AA136" s="43">
        <v>46236</v>
      </c>
      <c r="AB136" s="42" t="s">
        <v>169</v>
      </c>
    </row>
    <row r="137" spans="1:28" ht="28" customHeight="1">
      <c r="A137" s="30" t="str">
        <f>Summary!A23</f>
        <v>RPA-020</v>
      </c>
      <c r="B137" s="30" t="str">
        <f>Summary!B23</f>
        <v>Process 20 — Pending Identification</v>
      </c>
      <c r="C137" s="30">
        <f>Summary!C23</f>
        <v>0</v>
      </c>
      <c r="D137" s="30">
        <f>Summary!D23</f>
        <v>0</v>
      </c>
      <c r="E137" s="38">
        <f>Summary!E23</f>
        <v>0</v>
      </c>
      <c r="F137" s="30">
        <f>Summary!F23</f>
        <v>0</v>
      </c>
      <c r="G137" s="30">
        <f>Summary!G23</f>
        <v>0</v>
      </c>
      <c r="H137" s="30" t="str">
        <f>Summary!H23</f>
        <v>S3</v>
      </c>
      <c r="I137" s="30" t="str">
        <f>Summary!I23</f>
        <v>Not identified</v>
      </c>
      <c r="J137" s="30" t="s">
        <v>161</v>
      </c>
      <c r="K137" s="30">
        <f>IF(B137="","",SUM(K138:K143))</f>
        <v>34</v>
      </c>
      <c r="L137" s="39">
        <f>IF(B137="","",L138)</f>
        <v>46330</v>
      </c>
      <c r="M137" s="39">
        <f>IF(B137="","",M143)</f>
        <v>46377</v>
      </c>
      <c r="N137" s="30" t="str">
        <f>IF(B137="","",IF(O137=100%,"Completed",IF(COUNTIF(N138:N143,"On Hold")&gt;0,"On Hold",IF(O137&gt;0%,"In Progress","Not Started"))))</f>
        <v>Not Started</v>
      </c>
      <c r="O137" s="44">
        <f>IF(B137="","",AVERAGE(O138:O143))</f>
        <v>0</v>
      </c>
      <c r="P137" s="40"/>
      <c r="Q137" s="40"/>
      <c r="R137" s="46"/>
      <c r="S137" s="46"/>
      <c r="T137" s="40" t="str">
        <f>IF(COUNT(T138:T143)=0,"",MIN(T138:T143))</f>
        <v/>
      </c>
      <c r="U137" s="40" t="str">
        <f>IF(COUNT(U138:U143)=0,"",MAX(U138:U143))</f>
        <v/>
      </c>
      <c r="V137" s="40">
        <f t="shared" ca="1" si="42"/>
        <v>0</v>
      </c>
      <c r="W137" s="40" t="str">
        <f t="shared" ca="1" si="43"/>
        <v>Green</v>
      </c>
      <c r="X137" s="40" t="s">
        <v>162</v>
      </c>
      <c r="Y137" s="40"/>
      <c r="Z137" s="40"/>
      <c r="AA137" s="40">
        <v>46236</v>
      </c>
      <c r="AB137" s="40" t="s">
        <v>169</v>
      </c>
    </row>
    <row r="138" spans="1:28" ht="28" customHeight="1">
      <c r="A138" s="31" t="str">
        <f>Summary!A23</f>
        <v>RPA-020</v>
      </c>
      <c r="B138" s="31" t="str">
        <f>Summary!B23</f>
        <v>Process 20 — Pending Identification</v>
      </c>
      <c r="C138" s="31">
        <f>Summary!C23</f>
        <v>0</v>
      </c>
      <c r="D138" s="31">
        <f>Summary!D23</f>
        <v>0</v>
      </c>
      <c r="E138" s="41">
        <f>Summary!E23</f>
        <v>0</v>
      </c>
      <c r="F138" s="31">
        <f>Summary!F23</f>
        <v>0</v>
      </c>
      <c r="G138" s="31">
        <f>Summary!G23</f>
        <v>0</v>
      </c>
      <c r="H138" s="31" t="str">
        <f>Summary!H23</f>
        <v>S3</v>
      </c>
      <c r="I138" s="31" t="str">
        <f>Summary!I23</f>
        <v>Not identified</v>
      </c>
      <c r="J138" s="42" t="s">
        <v>18</v>
      </c>
      <c r="K138" s="42">
        <f>IF(B138="","",Summary!M23)</f>
        <v>20</v>
      </c>
      <c r="L138" s="43">
        <f>IF(Summary!$L23="","",Summary!$L23)</f>
        <v>46330</v>
      </c>
      <c r="M138" s="43">
        <f t="shared" ref="M138:M143" si="44">IF(OR(L138="",K138=""),"",WORKDAY.INTL(L138-1,K138,7))</f>
        <v>46357</v>
      </c>
      <c r="N138" s="42" t="s">
        <v>178</v>
      </c>
      <c r="O138" s="44">
        <f t="shared" ref="O138:O143" si="45">IF(B138="","",IF(N138="Completed",100%,IF(OR(N138="In Progress",N138="On Hold"),50%,0%)))</f>
        <v>0</v>
      </c>
      <c r="P138" s="42"/>
      <c r="Q138" s="42" t="s">
        <v>171</v>
      </c>
      <c r="R138" s="47"/>
      <c r="S138" s="47"/>
      <c r="T138" s="43"/>
      <c r="U138" s="43"/>
      <c r="V138" s="42">
        <f t="shared" ca="1" si="42"/>
        <v>0</v>
      </c>
      <c r="W138" s="42" t="str">
        <f t="shared" ca="1" si="43"/>
        <v>Green</v>
      </c>
      <c r="X138" s="42" t="s">
        <v>162</v>
      </c>
      <c r="Y138" s="42"/>
      <c r="Z138" s="42"/>
      <c r="AA138" s="43">
        <v>46236</v>
      </c>
      <c r="AB138" s="42" t="s">
        <v>169</v>
      </c>
    </row>
    <row r="139" spans="1:28" ht="28" customHeight="1">
      <c r="A139" s="31" t="str">
        <f>Summary!A23</f>
        <v>RPA-020</v>
      </c>
      <c r="B139" s="31" t="str">
        <f>Summary!B23</f>
        <v>Process 20 — Pending Identification</v>
      </c>
      <c r="C139" s="31">
        <f>Summary!C23</f>
        <v>0</v>
      </c>
      <c r="D139" s="31">
        <f>Summary!D23</f>
        <v>0</v>
      </c>
      <c r="E139" s="41">
        <f>Summary!E23</f>
        <v>0</v>
      </c>
      <c r="F139" s="31">
        <f>Summary!F23</f>
        <v>0</v>
      </c>
      <c r="G139" s="31">
        <f>Summary!G23</f>
        <v>0</v>
      </c>
      <c r="H139" s="31" t="str">
        <f>Summary!H23</f>
        <v>S3</v>
      </c>
      <c r="I139" s="31" t="str">
        <f>Summary!I23</f>
        <v>Not identified</v>
      </c>
      <c r="J139" s="42" t="s">
        <v>20</v>
      </c>
      <c r="K139" s="42">
        <f>IF(B139="","",Summary!N23)</f>
        <v>1</v>
      </c>
      <c r="L139" s="43">
        <f>IF(M138="","",WORKDAY.INTL(M138,1,7))</f>
        <v>46358</v>
      </c>
      <c r="M139" s="43">
        <f t="shared" si="44"/>
        <v>46358</v>
      </c>
      <c r="N139" s="42" t="s">
        <v>178</v>
      </c>
      <c r="O139" s="44">
        <f t="shared" si="45"/>
        <v>0</v>
      </c>
      <c r="P139" s="42"/>
      <c r="Q139" s="42" t="s">
        <v>171</v>
      </c>
      <c r="R139" s="47"/>
      <c r="S139" s="47"/>
      <c r="T139" s="43"/>
      <c r="U139" s="43"/>
      <c r="V139" s="42">
        <f t="shared" ca="1" si="42"/>
        <v>0</v>
      </c>
      <c r="W139" s="42" t="str">
        <f t="shared" ca="1" si="43"/>
        <v>Green</v>
      </c>
      <c r="X139" s="42" t="s">
        <v>162</v>
      </c>
      <c r="Y139" s="42"/>
      <c r="Z139" s="42"/>
      <c r="AA139" s="43">
        <v>46236</v>
      </c>
      <c r="AB139" s="42" t="s">
        <v>169</v>
      </c>
    </row>
    <row r="140" spans="1:28" ht="28" customHeight="1">
      <c r="A140" s="31" t="str">
        <f>Summary!A23</f>
        <v>RPA-020</v>
      </c>
      <c r="B140" s="31" t="str">
        <f>Summary!B23</f>
        <v>Process 20 — Pending Identification</v>
      </c>
      <c r="C140" s="31">
        <f>Summary!C23</f>
        <v>0</v>
      </c>
      <c r="D140" s="31">
        <f>Summary!D23</f>
        <v>0</v>
      </c>
      <c r="E140" s="41">
        <f>Summary!E23</f>
        <v>0</v>
      </c>
      <c r="F140" s="31">
        <f>Summary!F23</f>
        <v>0</v>
      </c>
      <c r="G140" s="31">
        <f>Summary!G23</f>
        <v>0</v>
      </c>
      <c r="H140" s="31" t="str">
        <f>Summary!H23</f>
        <v>S3</v>
      </c>
      <c r="I140" s="31" t="str">
        <f>Summary!I23</f>
        <v>Not identified</v>
      </c>
      <c r="J140" s="42" t="s">
        <v>22</v>
      </c>
      <c r="K140" s="42">
        <f>IF(B140="","",Summary!O23)</f>
        <v>1</v>
      </c>
      <c r="L140" s="43">
        <f>IF(M139="","",WORKDAY.INTL(M139,1,7))</f>
        <v>46359</v>
      </c>
      <c r="M140" s="43">
        <f t="shared" si="44"/>
        <v>46359</v>
      </c>
      <c r="N140" s="42" t="s">
        <v>178</v>
      </c>
      <c r="O140" s="44">
        <f t="shared" si="45"/>
        <v>0</v>
      </c>
      <c r="P140" s="42"/>
      <c r="Q140" s="42" t="s">
        <v>172</v>
      </c>
      <c r="R140" s="47"/>
      <c r="S140" s="47"/>
      <c r="T140" s="43"/>
      <c r="U140" s="43"/>
      <c r="V140" s="42">
        <f t="shared" ca="1" si="42"/>
        <v>0</v>
      </c>
      <c r="W140" s="42" t="str">
        <f t="shared" ca="1" si="43"/>
        <v>Green</v>
      </c>
      <c r="X140" s="42" t="s">
        <v>162</v>
      </c>
      <c r="Y140" s="42"/>
      <c r="Z140" s="42"/>
      <c r="AA140" s="43">
        <v>46236</v>
      </c>
      <c r="AB140" s="42" t="s">
        <v>169</v>
      </c>
    </row>
    <row r="141" spans="1:28" ht="28" customHeight="1">
      <c r="A141" s="31" t="str">
        <f>Summary!A23</f>
        <v>RPA-020</v>
      </c>
      <c r="B141" s="31" t="str">
        <f>Summary!B23</f>
        <v>Process 20 — Pending Identification</v>
      </c>
      <c r="C141" s="31">
        <f>Summary!C23</f>
        <v>0</v>
      </c>
      <c r="D141" s="31">
        <f>Summary!D23</f>
        <v>0</v>
      </c>
      <c r="E141" s="41">
        <f>Summary!E23</f>
        <v>0</v>
      </c>
      <c r="F141" s="31">
        <f>Summary!F23</f>
        <v>0</v>
      </c>
      <c r="G141" s="31">
        <f>Summary!G23</f>
        <v>0</v>
      </c>
      <c r="H141" s="31" t="str">
        <f>Summary!H23</f>
        <v>S3</v>
      </c>
      <c r="I141" s="31" t="str">
        <f>Summary!I23</f>
        <v>Not identified</v>
      </c>
      <c r="J141" s="42" t="s">
        <v>24</v>
      </c>
      <c r="K141" s="42">
        <f>IF(B141="","",Summary!P23)</f>
        <v>10</v>
      </c>
      <c r="L141" s="43">
        <f>IF(M140="","",WORKDAY.INTL(M140,1,7))</f>
        <v>46362</v>
      </c>
      <c r="M141" s="43">
        <f t="shared" si="44"/>
        <v>46373</v>
      </c>
      <c r="N141" s="42" t="s">
        <v>178</v>
      </c>
      <c r="O141" s="44">
        <f t="shared" si="45"/>
        <v>0</v>
      </c>
      <c r="P141" s="42"/>
      <c r="Q141" s="42" t="s">
        <v>175</v>
      </c>
      <c r="R141" s="47"/>
      <c r="S141" s="47"/>
      <c r="T141" s="43"/>
      <c r="U141" s="43"/>
      <c r="V141" s="42">
        <f t="shared" ca="1" si="42"/>
        <v>0</v>
      </c>
      <c r="W141" s="42" t="str">
        <f t="shared" ca="1" si="43"/>
        <v>Green</v>
      </c>
      <c r="X141" s="42" t="s">
        <v>162</v>
      </c>
      <c r="Y141" s="42"/>
      <c r="Z141" s="42"/>
      <c r="AA141" s="43">
        <v>46236</v>
      </c>
      <c r="AB141" s="42" t="s">
        <v>169</v>
      </c>
    </row>
    <row r="142" spans="1:28" ht="28" customHeight="1">
      <c r="A142" s="31" t="str">
        <f>Summary!A23</f>
        <v>RPA-020</v>
      </c>
      <c r="B142" s="31" t="str">
        <f>Summary!B23</f>
        <v>Process 20 — Pending Identification</v>
      </c>
      <c r="C142" s="31">
        <f>Summary!C23</f>
        <v>0</v>
      </c>
      <c r="D142" s="31">
        <f>Summary!D23</f>
        <v>0</v>
      </c>
      <c r="E142" s="41">
        <f>Summary!E23</f>
        <v>0</v>
      </c>
      <c r="F142" s="31">
        <f>Summary!F23</f>
        <v>0</v>
      </c>
      <c r="G142" s="31">
        <f>Summary!G23</f>
        <v>0</v>
      </c>
      <c r="H142" s="31" t="str">
        <f>Summary!H23</f>
        <v>S3</v>
      </c>
      <c r="I142" s="31" t="str">
        <f>Summary!I23</f>
        <v>Not identified</v>
      </c>
      <c r="J142" s="42" t="s">
        <v>26</v>
      </c>
      <c r="K142" s="42">
        <f>IF(B142="","",Summary!Q23)</f>
        <v>1</v>
      </c>
      <c r="L142" s="43">
        <f>IF(M141="","",WORKDAY.INTL(M141,1,7))</f>
        <v>46376</v>
      </c>
      <c r="M142" s="43">
        <f t="shared" si="44"/>
        <v>46376</v>
      </c>
      <c r="N142" s="42" t="s">
        <v>178</v>
      </c>
      <c r="O142" s="44">
        <f t="shared" si="45"/>
        <v>0</v>
      </c>
      <c r="P142" s="42"/>
      <c r="Q142" s="42" t="s">
        <v>180</v>
      </c>
      <c r="R142" s="47"/>
      <c r="S142" s="47"/>
      <c r="T142" s="43"/>
      <c r="U142" s="43"/>
      <c r="V142" s="42">
        <f t="shared" ca="1" si="42"/>
        <v>0</v>
      </c>
      <c r="W142" s="42" t="str">
        <f t="shared" ca="1" si="43"/>
        <v>Green</v>
      </c>
      <c r="X142" s="42" t="s">
        <v>162</v>
      </c>
      <c r="Y142" s="42"/>
      <c r="Z142" s="42"/>
      <c r="AA142" s="43">
        <v>46236</v>
      </c>
      <c r="AB142" s="42" t="s">
        <v>169</v>
      </c>
    </row>
    <row r="143" spans="1:28" ht="28" customHeight="1">
      <c r="A143" s="31" t="str">
        <f>Summary!A23</f>
        <v>RPA-020</v>
      </c>
      <c r="B143" s="31" t="str">
        <f>Summary!B23</f>
        <v>Process 20 — Pending Identification</v>
      </c>
      <c r="C143" s="31">
        <f>Summary!C23</f>
        <v>0</v>
      </c>
      <c r="D143" s="31">
        <f>Summary!D23</f>
        <v>0</v>
      </c>
      <c r="E143" s="41">
        <f>Summary!E23</f>
        <v>0</v>
      </c>
      <c r="F143" s="31">
        <f>Summary!F23</f>
        <v>0</v>
      </c>
      <c r="G143" s="31">
        <f>Summary!G23</f>
        <v>0</v>
      </c>
      <c r="H143" s="31" t="str">
        <f>Summary!H23</f>
        <v>S3</v>
      </c>
      <c r="I143" s="31" t="str">
        <f>Summary!I23</f>
        <v>Not identified</v>
      </c>
      <c r="J143" s="42" t="s">
        <v>27</v>
      </c>
      <c r="K143" s="42">
        <f>IF(B143="","",Summary!R23)</f>
        <v>1</v>
      </c>
      <c r="L143" s="43">
        <f>IF(M142="","",WORKDAY.INTL(M142,1,7))</f>
        <v>46377</v>
      </c>
      <c r="M143" s="43">
        <f t="shared" si="44"/>
        <v>46377</v>
      </c>
      <c r="N143" s="42" t="s">
        <v>178</v>
      </c>
      <c r="O143" s="44">
        <f t="shared" si="45"/>
        <v>0</v>
      </c>
      <c r="P143" s="42"/>
      <c r="Q143" s="42" t="s">
        <v>175</v>
      </c>
      <c r="R143" s="47"/>
      <c r="S143" s="47"/>
      <c r="T143" s="43"/>
      <c r="U143" s="43"/>
      <c r="V143" s="42">
        <f t="shared" ca="1" si="42"/>
        <v>0</v>
      </c>
      <c r="W143" s="42" t="str">
        <f t="shared" ca="1" si="43"/>
        <v>Green</v>
      </c>
      <c r="X143" s="42" t="s">
        <v>162</v>
      </c>
      <c r="Y143" s="42"/>
      <c r="Z143" s="42"/>
      <c r="AA143" s="43">
        <v>46236</v>
      </c>
      <c r="AB143" s="42" t="s">
        <v>169</v>
      </c>
    </row>
    <row r="144" spans="1:28" ht="28" customHeight="1">
      <c r="A144" s="30" t="str">
        <f>Summary!A24</f>
        <v>RPA-021</v>
      </c>
      <c r="B144" s="30" t="str">
        <f>Summary!B24</f>
        <v>Process 21 — Pending Identification</v>
      </c>
      <c r="C144" s="30">
        <f>Summary!C24</f>
        <v>0</v>
      </c>
      <c r="D144" s="30">
        <f>Summary!D24</f>
        <v>0</v>
      </c>
      <c r="E144" s="38">
        <f>Summary!E24</f>
        <v>0</v>
      </c>
      <c r="F144" s="30">
        <f>Summary!F24</f>
        <v>0</v>
      </c>
      <c r="G144" s="30">
        <f>Summary!G24</f>
        <v>0</v>
      </c>
      <c r="H144" s="30" t="str">
        <f>Summary!H24</f>
        <v>S1</v>
      </c>
      <c r="I144" s="30" t="str">
        <f>Summary!I24</f>
        <v>Not identified</v>
      </c>
      <c r="J144" s="30" t="s">
        <v>161</v>
      </c>
      <c r="K144" s="30">
        <f>IF(B144="","",SUM(K145:K150))</f>
        <v>34</v>
      </c>
      <c r="L144" s="39">
        <f>IF(B144="","",L145)</f>
        <v>46322</v>
      </c>
      <c r="M144" s="39">
        <f>IF(B144="","",M150)</f>
        <v>46369</v>
      </c>
      <c r="N144" s="30" t="str">
        <f>IF(B144="","",IF(O144=100%,"Completed",IF(COUNTIF(N145:N150,"On Hold")&gt;0,"On Hold",IF(O144&gt;0%,"In Progress","Not Started"))))</f>
        <v>Not Started</v>
      </c>
      <c r="O144" s="44">
        <f>IF(B144="","",AVERAGE(O145:O150))</f>
        <v>0</v>
      </c>
      <c r="P144" s="40"/>
      <c r="Q144" s="40"/>
      <c r="R144" s="46"/>
      <c r="S144" s="46"/>
      <c r="T144" s="40" t="str">
        <f>IF(COUNT(T145:T150)=0,"",MIN(T145:T150))</f>
        <v/>
      </c>
      <c r="U144" s="40" t="str">
        <f>IF(COUNT(U145:U150)=0,"",MAX(U145:U150))</f>
        <v/>
      </c>
      <c r="V144" s="40">
        <f t="shared" ca="1" si="42"/>
        <v>0</v>
      </c>
      <c r="W144" s="40" t="str">
        <f t="shared" ca="1" si="43"/>
        <v>Green</v>
      </c>
      <c r="X144" s="40" t="s">
        <v>162</v>
      </c>
      <c r="Y144" s="40"/>
      <c r="Z144" s="40"/>
      <c r="AA144" s="40">
        <v>46236</v>
      </c>
      <c r="AB144" s="40" t="s">
        <v>169</v>
      </c>
    </row>
    <row r="145" spans="1:28" ht="28" customHeight="1">
      <c r="A145" s="31" t="str">
        <f>Summary!A24</f>
        <v>RPA-021</v>
      </c>
      <c r="B145" s="31" t="str">
        <f>Summary!B24</f>
        <v>Process 21 — Pending Identification</v>
      </c>
      <c r="C145" s="31">
        <f>Summary!C24</f>
        <v>0</v>
      </c>
      <c r="D145" s="31">
        <f>Summary!D24</f>
        <v>0</v>
      </c>
      <c r="E145" s="41">
        <f>Summary!E24</f>
        <v>0</v>
      </c>
      <c r="F145" s="31">
        <f>Summary!F24</f>
        <v>0</v>
      </c>
      <c r="G145" s="31">
        <f>Summary!G24</f>
        <v>0</v>
      </c>
      <c r="H145" s="31" t="str">
        <f>Summary!H24</f>
        <v>S1</v>
      </c>
      <c r="I145" s="31" t="str">
        <f>Summary!I24</f>
        <v>Not identified</v>
      </c>
      <c r="J145" s="42" t="s">
        <v>18</v>
      </c>
      <c r="K145" s="42">
        <f>IF(B145="","",Summary!M24)</f>
        <v>20</v>
      </c>
      <c r="L145" s="43">
        <f>IF(Summary!$L24="","",Summary!$L24)</f>
        <v>46322</v>
      </c>
      <c r="M145" s="43">
        <f t="shared" ref="M145:M150" si="46">IF(OR(L145="",K145=""),"",WORKDAY.INTL(L145-1,K145,7))</f>
        <v>46349</v>
      </c>
      <c r="N145" s="42" t="s">
        <v>178</v>
      </c>
      <c r="O145" s="44">
        <f t="shared" ref="O145:O150" si="47">IF(B145="","",IF(N145="Completed",100%,IF(OR(N145="In Progress",N145="On Hold"),50%,0%)))</f>
        <v>0</v>
      </c>
      <c r="P145" s="42"/>
      <c r="Q145" s="42" t="s">
        <v>171</v>
      </c>
      <c r="R145" s="47"/>
      <c r="S145" s="47"/>
      <c r="T145" s="43"/>
      <c r="U145" s="43"/>
      <c r="V145" s="42">
        <f t="shared" ca="1" si="42"/>
        <v>0</v>
      </c>
      <c r="W145" s="42" t="str">
        <f t="shared" ca="1" si="43"/>
        <v>Green</v>
      </c>
      <c r="X145" s="42" t="s">
        <v>162</v>
      </c>
      <c r="Y145" s="42"/>
      <c r="Z145" s="42"/>
      <c r="AA145" s="43">
        <v>46236</v>
      </c>
      <c r="AB145" s="42" t="s">
        <v>169</v>
      </c>
    </row>
    <row r="146" spans="1:28" ht="28" customHeight="1">
      <c r="A146" s="31" t="str">
        <f>Summary!A24</f>
        <v>RPA-021</v>
      </c>
      <c r="B146" s="31" t="str">
        <f>Summary!B24</f>
        <v>Process 21 — Pending Identification</v>
      </c>
      <c r="C146" s="31">
        <f>Summary!C24</f>
        <v>0</v>
      </c>
      <c r="D146" s="31">
        <f>Summary!D24</f>
        <v>0</v>
      </c>
      <c r="E146" s="41">
        <f>Summary!E24</f>
        <v>0</v>
      </c>
      <c r="F146" s="31">
        <f>Summary!F24</f>
        <v>0</v>
      </c>
      <c r="G146" s="31">
        <f>Summary!G24</f>
        <v>0</v>
      </c>
      <c r="H146" s="31" t="str">
        <f>Summary!H24</f>
        <v>S1</v>
      </c>
      <c r="I146" s="31" t="str">
        <f>Summary!I24</f>
        <v>Not identified</v>
      </c>
      <c r="J146" s="42" t="s">
        <v>20</v>
      </c>
      <c r="K146" s="42">
        <f>IF(B146="","",Summary!N24)</f>
        <v>1</v>
      </c>
      <c r="L146" s="43">
        <f>IF(M145="","",WORKDAY.INTL(M145,1,7))</f>
        <v>46350</v>
      </c>
      <c r="M146" s="43">
        <f t="shared" si="46"/>
        <v>46350</v>
      </c>
      <c r="N146" s="42" t="s">
        <v>178</v>
      </c>
      <c r="O146" s="44">
        <f t="shared" si="47"/>
        <v>0</v>
      </c>
      <c r="P146" s="42"/>
      <c r="Q146" s="42" t="s">
        <v>171</v>
      </c>
      <c r="R146" s="47"/>
      <c r="S146" s="47"/>
      <c r="T146" s="43"/>
      <c r="U146" s="43"/>
      <c r="V146" s="42">
        <f t="shared" ca="1" si="42"/>
        <v>0</v>
      </c>
      <c r="W146" s="42" t="str">
        <f t="shared" ca="1" si="43"/>
        <v>Green</v>
      </c>
      <c r="X146" s="42" t="s">
        <v>162</v>
      </c>
      <c r="Y146" s="42"/>
      <c r="Z146" s="42"/>
      <c r="AA146" s="43">
        <v>46236</v>
      </c>
      <c r="AB146" s="42" t="s">
        <v>169</v>
      </c>
    </row>
    <row r="147" spans="1:28" ht="28" customHeight="1">
      <c r="A147" s="31" t="str">
        <f>Summary!A24</f>
        <v>RPA-021</v>
      </c>
      <c r="B147" s="31" t="str">
        <f>Summary!B24</f>
        <v>Process 21 — Pending Identification</v>
      </c>
      <c r="C147" s="31">
        <f>Summary!C24</f>
        <v>0</v>
      </c>
      <c r="D147" s="31">
        <f>Summary!D24</f>
        <v>0</v>
      </c>
      <c r="E147" s="41">
        <f>Summary!E24</f>
        <v>0</v>
      </c>
      <c r="F147" s="31">
        <f>Summary!F24</f>
        <v>0</v>
      </c>
      <c r="G147" s="31">
        <f>Summary!G24</f>
        <v>0</v>
      </c>
      <c r="H147" s="31" t="str">
        <f>Summary!H24</f>
        <v>S1</v>
      </c>
      <c r="I147" s="31" t="str">
        <f>Summary!I24</f>
        <v>Not identified</v>
      </c>
      <c r="J147" s="42" t="s">
        <v>22</v>
      </c>
      <c r="K147" s="42">
        <f>IF(B147="","",Summary!O24)</f>
        <v>1</v>
      </c>
      <c r="L147" s="43">
        <f>IF(M146="","",WORKDAY.INTL(M146,1,7))</f>
        <v>46351</v>
      </c>
      <c r="M147" s="43">
        <f t="shared" si="46"/>
        <v>46351</v>
      </c>
      <c r="N147" s="42" t="s">
        <v>178</v>
      </c>
      <c r="O147" s="44">
        <f t="shared" si="47"/>
        <v>0</v>
      </c>
      <c r="P147" s="42"/>
      <c r="Q147" s="42" t="s">
        <v>172</v>
      </c>
      <c r="R147" s="47"/>
      <c r="S147" s="47"/>
      <c r="T147" s="43"/>
      <c r="U147" s="43"/>
      <c r="V147" s="42">
        <f t="shared" ca="1" si="42"/>
        <v>0</v>
      </c>
      <c r="W147" s="42" t="str">
        <f t="shared" ca="1" si="43"/>
        <v>Green</v>
      </c>
      <c r="X147" s="42" t="s">
        <v>162</v>
      </c>
      <c r="Y147" s="42"/>
      <c r="Z147" s="42"/>
      <c r="AA147" s="43">
        <v>46236</v>
      </c>
      <c r="AB147" s="42" t="s">
        <v>169</v>
      </c>
    </row>
    <row r="148" spans="1:28" ht="28" customHeight="1">
      <c r="A148" s="31" t="str">
        <f>Summary!A24</f>
        <v>RPA-021</v>
      </c>
      <c r="B148" s="31" t="str">
        <f>Summary!B24</f>
        <v>Process 21 — Pending Identification</v>
      </c>
      <c r="C148" s="31">
        <f>Summary!C24</f>
        <v>0</v>
      </c>
      <c r="D148" s="31">
        <f>Summary!D24</f>
        <v>0</v>
      </c>
      <c r="E148" s="41">
        <f>Summary!E24</f>
        <v>0</v>
      </c>
      <c r="F148" s="31">
        <f>Summary!F24</f>
        <v>0</v>
      </c>
      <c r="G148" s="31">
        <f>Summary!G24</f>
        <v>0</v>
      </c>
      <c r="H148" s="31" t="str">
        <f>Summary!H24</f>
        <v>S1</v>
      </c>
      <c r="I148" s="31" t="str">
        <f>Summary!I24</f>
        <v>Not identified</v>
      </c>
      <c r="J148" s="42" t="s">
        <v>24</v>
      </c>
      <c r="K148" s="42">
        <f>IF(B148="","",Summary!P24)</f>
        <v>10</v>
      </c>
      <c r="L148" s="43">
        <f>IF(M147="","",WORKDAY.INTL(M147,1,7))</f>
        <v>46352</v>
      </c>
      <c r="M148" s="43">
        <f t="shared" si="46"/>
        <v>46365</v>
      </c>
      <c r="N148" s="42" t="s">
        <v>178</v>
      </c>
      <c r="O148" s="44">
        <f t="shared" si="47"/>
        <v>0</v>
      </c>
      <c r="P148" s="42"/>
      <c r="Q148" s="42" t="s">
        <v>175</v>
      </c>
      <c r="R148" s="47"/>
      <c r="S148" s="47"/>
      <c r="T148" s="43"/>
      <c r="U148" s="43"/>
      <c r="V148" s="42">
        <f t="shared" ca="1" si="42"/>
        <v>0</v>
      </c>
      <c r="W148" s="42" t="str">
        <f t="shared" ca="1" si="43"/>
        <v>Green</v>
      </c>
      <c r="X148" s="42" t="s">
        <v>162</v>
      </c>
      <c r="Y148" s="42"/>
      <c r="Z148" s="42"/>
      <c r="AA148" s="43">
        <v>46236</v>
      </c>
      <c r="AB148" s="42" t="s">
        <v>169</v>
      </c>
    </row>
    <row r="149" spans="1:28" ht="28" customHeight="1">
      <c r="A149" s="31" t="str">
        <f>Summary!A24</f>
        <v>RPA-021</v>
      </c>
      <c r="B149" s="31" t="str">
        <f>Summary!B24</f>
        <v>Process 21 — Pending Identification</v>
      </c>
      <c r="C149" s="31">
        <f>Summary!C24</f>
        <v>0</v>
      </c>
      <c r="D149" s="31">
        <f>Summary!D24</f>
        <v>0</v>
      </c>
      <c r="E149" s="41">
        <f>Summary!E24</f>
        <v>0</v>
      </c>
      <c r="F149" s="31">
        <f>Summary!F24</f>
        <v>0</v>
      </c>
      <c r="G149" s="31">
        <f>Summary!G24</f>
        <v>0</v>
      </c>
      <c r="H149" s="31" t="str">
        <f>Summary!H24</f>
        <v>S1</v>
      </c>
      <c r="I149" s="31" t="str">
        <f>Summary!I24</f>
        <v>Not identified</v>
      </c>
      <c r="J149" s="42" t="s">
        <v>26</v>
      </c>
      <c r="K149" s="42">
        <f>IF(B149="","",Summary!Q24)</f>
        <v>1</v>
      </c>
      <c r="L149" s="43">
        <f>IF(M148="","",WORKDAY.INTL(M148,1,7))</f>
        <v>46366</v>
      </c>
      <c r="M149" s="43">
        <f t="shared" si="46"/>
        <v>46366</v>
      </c>
      <c r="N149" s="42" t="s">
        <v>178</v>
      </c>
      <c r="O149" s="44">
        <f t="shared" si="47"/>
        <v>0</v>
      </c>
      <c r="P149" s="42"/>
      <c r="Q149" s="42" t="s">
        <v>180</v>
      </c>
      <c r="R149" s="47"/>
      <c r="S149" s="47"/>
      <c r="T149" s="43"/>
      <c r="U149" s="43"/>
      <c r="V149" s="42">
        <f t="shared" ca="1" si="42"/>
        <v>0</v>
      </c>
      <c r="W149" s="42" t="str">
        <f t="shared" ca="1" si="43"/>
        <v>Green</v>
      </c>
      <c r="X149" s="42" t="s">
        <v>162</v>
      </c>
      <c r="Y149" s="42"/>
      <c r="Z149" s="42"/>
      <c r="AA149" s="43">
        <v>46236</v>
      </c>
      <c r="AB149" s="42" t="s">
        <v>169</v>
      </c>
    </row>
    <row r="150" spans="1:28" ht="28" customHeight="1">
      <c r="A150" s="31" t="str">
        <f>Summary!A24</f>
        <v>RPA-021</v>
      </c>
      <c r="B150" s="31" t="str">
        <f>Summary!B24</f>
        <v>Process 21 — Pending Identification</v>
      </c>
      <c r="C150" s="31">
        <f>Summary!C24</f>
        <v>0</v>
      </c>
      <c r="D150" s="31">
        <f>Summary!D24</f>
        <v>0</v>
      </c>
      <c r="E150" s="41">
        <f>Summary!E24</f>
        <v>0</v>
      </c>
      <c r="F150" s="31">
        <f>Summary!F24</f>
        <v>0</v>
      </c>
      <c r="G150" s="31">
        <f>Summary!G24</f>
        <v>0</v>
      </c>
      <c r="H150" s="31" t="str">
        <f>Summary!H24</f>
        <v>S1</v>
      </c>
      <c r="I150" s="31" t="str">
        <f>Summary!I24</f>
        <v>Not identified</v>
      </c>
      <c r="J150" s="42" t="s">
        <v>27</v>
      </c>
      <c r="K150" s="42">
        <f>IF(B150="","",Summary!R24)</f>
        <v>1</v>
      </c>
      <c r="L150" s="43">
        <f>IF(M149="","",WORKDAY.INTL(M149,1,7))</f>
        <v>46369</v>
      </c>
      <c r="M150" s="43">
        <f t="shared" si="46"/>
        <v>46369</v>
      </c>
      <c r="N150" s="42" t="s">
        <v>178</v>
      </c>
      <c r="O150" s="44">
        <f t="shared" si="47"/>
        <v>0</v>
      </c>
      <c r="P150" s="42"/>
      <c r="Q150" s="42" t="s">
        <v>175</v>
      </c>
      <c r="R150" s="47"/>
      <c r="S150" s="47"/>
      <c r="T150" s="43"/>
      <c r="U150" s="43"/>
      <c r="V150" s="42">
        <f t="shared" ca="1" si="42"/>
        <v>0</v>
      </c>
      <c r="W150" s="42" t="str">
        <f t="shared" ca="1" si="43"/>
        <v>Green</v>
      </c>
      <c r="X150" s="42" t="s">
        <v>162</v>
      </c>
      <c r="Y150" s="42"/>
      <c r="Z150" s="42"/>
      <c r="AA150" s="43">
        <v>46236</v>
      </c>
      <c r="AB150" s="42" t="s">
        <v>169</v>
      </c>
    </row>
    <row r="151" spans="1:28" ht="28" customHeight="1">
      <c r="A151" s="30" t="str">
        <f>Summary!A25</f>
        <v>RPA-022</v>
      </c>
      <c r="B151" s="30" t="str">
        <f>Summary!B25</f>
        <v>Process 22 — Pending Identification</v>
      </c>
      <c r="C151" s="30">
        <f>Summary!C25</f>
        <v>0</v>
      </c>
      <c r="D151" s="30">
        <f>Summary!D25</f>
        <v>0</v>
      </c>
      <c r="E151" s="38">
        <f>Summary!E25</f>
        <v>0</v>
      </c>
      <c r="F151" s="30">
        <f>Summary!F25</f>
        <v>0</v>
      </c>
      <c r="G151" s="30">
        <f>Summary!G25</f>
        <v>0</v>
      </c>
      <c r="H151" s="30" t="str">
        <f>Summary!H25</f>
        <v>S4</v>
      </c>
      <c r="I151" s="30" t="str">
        <f>Summary!I25</f>
        <v>Not identified</v>
      </c>
      <c r="J151" s="30" t="s">
        <v>161</v>
      </c>
      <c r="K151" s="30">
        <f>IF(B151="","",SUM(K152:K157))</f>
        <v>34</v>
      </c>
      <c r="L151" s="39">
        <f>IF(B151="","",L152)</f>
        <v>46329</v>
      </c>
      <c r="M151" s="39">
        <f>IF(B151="","",M157)</f>
        <v>46376</v>
      </c>
      <c r="N151" s="30" t="str">
        <f>IF(B151="","",IF(O151=100%,"Completed",IF(COUNTIF(N152:N157,"On Hold")&gt;0,"On Hold",IF(O151&gt;0%,"In Progress","Not Started"))))</f>
        <v>Not Started</v>
      </c>
      <c r="O151" s="44">
        <f>IF(B151="","",AVERAGE(O152:O157))</f>
        <v>0</v>
      </c>
      <c r="P151" s="40"/>
      <c r="Q151" s="40"/>
      <c r="R151" s="46"/>
      <c r="S151" s="46"/>
      <c r="T151" s="40" t="str">
        <f>IF(COUNT(T152:T157)=0,"",MIN(T152:T157))</f>
        <v/>
      </c>
      <c r="U151" s="40" t="str">
        <f>IF(COUNT(U152:U157)=0,"",MAX(U152:U157))</f>
        <v/>
      </c>
      <c r="V151" s="40">
        <f t="shared" ca="1" si="42"/>
        <v>0</v>
      </c>
      <c r="W151" s="40" t="str">
        <f t="shared" ca="1" si="43"/>
        <v>Green</v>
      </c>
      <c r="X151" s="40" t="s">
        <v>162</v>
      </c>
      <c r="Y151" s="40"/>
      <c r="Z151" s="40"/>
      <c r="AA151" s="40">
        <v>46236</v>
      </c>
      <c r="AB151" s="40" t="s">
        <v>169</v>
      </c>
    </row>
    <row r="152" spans="1:28" ht="28" customHeight="1">
      <c r="A152" s="31" t="str">
        <f>Summary!A25</f>
        <v>RPA-022</v>
      </c>
      <c r="B152" s="31" t="str">
        <f>Summary!B25</f>
        <v>Process 22 — Pending Identification</v>
      </c>
      <c r="C152" s="31">
        <f>Summary!C25</f>
        <v>0</v>
      </c>
      <c r="D152" s="31">
        <f>Summary!D25</f>
        <v>0</v>
      </c>
      <c r="E152" s="41">
        <f>Summary!E25</f>
        <v>0</v>
      </c>
      <c r="F152" s="31">
        <f>Summary!F25</f>
        <v>0</v>
      </c>
      <c r="G152" s="31">
        <f>Summary!G25</f>
        <v>0</v>
      </c>
      <c r="H152" s="31" t="str">
        <f>Summary!H25</f>
        <v>S4</v>
      </c>
      <c r="I152" s="31" t="str">
        <f>Summary!I25</f>
        <v>Not identified</v>
      </c>
      <c r="J152" s="42" t="s">
        <v>18</v>
      </c>
      <c r="K152" s="42">
        <f>IF(B152="","",Summary!M25)</f>
        <v>20</v>
      </c>
      <c r="L152" s="43">
        <f>IF(Summary!$L25="","",Summary!$L25)</f>
        <v>46329</v>
      </c>
      <c r="M152" s="43">
        <f t="shared" ref="M152:M157" si="48">IF(OR(L152="",K152=""),"",WORKDAY.INTL(L152-1,K152,7))</f>
        <v>46356</v>
      </c>
      <c r="N152" s="42" t="s">
        <v>178</v>
      </c>
      <c r="O152" s="44">
        <f t="shared" ref="O152:O157" si="49">IF(B152="","",IF(N152="Completed",100%,IF(OR(N152="In Progress",N152="On Hold"),50%,0%)))</f>
        <v>0</v>
      </c>
      <c r="P152" s="42"/>
      <c r="Q152" s="42" t="s">
        <v>171</v>
      </c>
      <c r="R152" s="47"/>
      <c r="S152" s="47"/>
      <c r="T152" s="43"/>
      <c r="U152" s="43"/>
      <c r="V152" s="42">
        <f t="shared" ca="1" si="42"/>
        <v>0</v>
      </c>
      <c r="W152" s="42" t="str">
        <f t="shared" ca="1" si="43"/>
        <v>Green</v>
      </c>
      <c r="X152" s="42" t="s">
        <v>162</v>
      </c>
      <c r="Y152" s="42"/>
      <c r="Z152" s="42"/>
      <c r="AA152" s="43">
        <v>46236</v>
      </c>
      <c r="AB152" s="42" t="s">
        <v>169</v>
      </c>
    </row>
    <row r="153" spans="1:28" ht="28" customHeight="1">
      <c r="A153" s="31" t="str">
        <f>Summary!A25</f>
        <v>RPA-022</v>
      </c>
      <c r="B153" s="31" t="str">
        <f>Summary!B25</f>
        <v>Process 22 — Pending Identification</v>
      </c>
      <c r="C153" s="31">
        <f>Summary!C25</f>
        <v>0</v>
      </c>
      <c r="D153" s="31">
        <f>Summary!D25</f>
        <v>0</v>
      </c>
      <c r="E153" s="41">
        <f>Summary!E25</f>
        <v>0</v>
      </c>
      <c r="F153" s="31">
        <f>Summary!F25</f>
        <v>0</v>
      </c>
      <c r="G153" s="31">
        <f>Summary!G25</f>
        <v>0</v>
      </c>
      <c r="H153" s="31" t="str">
        <f>Summary!H25</f>
        <v>S4</v>
      </c>
      <c r="I153" s="31" t="str">
        <f>Summary!I25</f>
        <v>Not identified</v>
      </c>
      <c r="J153" s="42" t="s">
        <v>20</v>
      </c>
      <c r="K153" s="42">
        <f>IF(B153="","",Summary!N25)</f>
        <v>1</v>
      </c>
      <c r="L153" s="43">
        <f>IF(M152="","",WORKDAY.INTL(M152,1,7))</f>
        <v>46357</v>
      </c>
      <c r="M153" s="43">
        <f t="shared" si="48"/>
        <v>46357</v>
      </c>
      <c r="N153" s="42" t="s">
        <v>178</v>
      </c>
      <c r="O153" s="44">
        <f t="shared" si="49"/>
        <v>0</v>
      </c>
      <c r="P153" s="42"/>
      <c r="Q153" s="42" t="s">
        <v>171</v>
      </c>
      <c r="R153" s="47"/>
      <c r="S153" s="47"/>
      <c r="T153" s="43"/>
      <c r="U153" s="43"/>
      <c r="V153" s="42">
        <f t="shared" ca="1" si="42"/>
        <v>0</v>
      </c>
      <c r="W153" s="42" t="str">
        <f t="shared" ca="1" si="43"/>
        <v>Green</v>
      </c>
      <c r="X153" s="42" t="s">
        <v>162</v>
      </c>
      <c r="Y153" s="42"/>
      <c r="Z153" s="42"/>
      <c r="AA153" s="43">
        <v>46236</v>
      </c>
      <c r="AB153" s="42" t="s">
        <v>169</v>
      </c>
    </row>
    <row r="154" spans="1:28" ht="28" customHeight="1">
      <c r="A154" s="31" t="str">
        <f>Summary!A25</f>
        <v>RPA-022</v>
      </c>
      <c r="B154" s="31" t="str">
        <f>Summary!B25</f>
        <v>Process 22 — Pending Identification</v>
      </c>
      <c r="C154" s="31">
        <f>Summary!C25</f>
        <v>0</v>
      </c>
      <c r="D154" s="31">
        <f>Summary!D25</f>
        <v>0</v>
      </c>
      <c r="E154" s="41">
        <f>Summary!E25</f>
        <v>0</v>
      </c>
      <c r="F154" s="31">
        <f>Summary!F25</f>
        <v>0</v>
      </c>
      <c r="G154" s="31">
        <f>Summary!G25</f>
        <v>0</v>
      </c>
      <c r="H154" s="31" t="str">
        <f>Summary!H25</f>
        <v>S4</v>
      </c>
      <c r="I154" s="31" t="str">
        <f>Summary!I25</f>
        <v>Not identified</v>
      </c>
      <c r="J154" s="42" t="s">
        <v>22</v>
      </c>
      <c r="K154" s="42">
        <f>IF(B154="","",Summary!O25)</f>
        <v>1</v>
      </c>
      <c r="L154" s="43">
        <f>IF(M153="","",WORKDAY.INTL(M153,1,7))</f>
        <v>46358</v>
      </c>
      <c r="M154" s="43">
        <f t="shared" si="48"/>
        <v>46358</v>
      </c>
      <c r="N154" s="42" t="s">
        <v>178</v>
      </c>
      <c r="O154" s="44">
        <f t="shared" si="49"/>
        <v>0</v>
      </c>
      <c r="P154" s="42"/>
      <c r="Q154" s="42" t="s">
        <v>172</v>
      </c>
      <c r="R154" s="47"/>
      <c r="S154" s="47"/>
      <c r="T154" s="43"/>
      <c r="U154" s="43"/>
      <c r="V154" s="42">
        <f t="shared" ca="1" si="42"/>
        <v>0</v>
      </c>
      <c r="W154" s="42" t="str">
        <f t="shared" ca="1" si="43"/>
        <v>Green</v>
      </c>
      <c r="X154" s="42" t="s">
        <v>162</v>
      </c>
      <c r="Y154" s="42"/>
      <c r="Z154" s="42"/>
      <c r="AA154" s="43">
        <v>46236</v>
      </c>
      <c r="AB154" s="42" t="s">
        <v>169</v>
      </c>
    </row>
    <row r="155" spans="1:28" ht="28" customHeight="1">
      <c r="A155" s="31" t="str">
        <f>Summary!A25</f>
        <v>RPA-022</v>
      </c>
      <c r="B155" s="31" t="str">
        <f>Summary!B25</f>
        <v>Process 22 — Pending Identification</v>
      </c>
      <c r="C155" s="31">
        <f>Summary!C25</f>
        <v>0</v>
      </c>
      <c r="D155" s="31">
        <f>Summary!D25</f>
        <v>0</v>
      </c>
      <c r="E155" s="41">
        <f>Summary!E25</f>
        <v>0</v>
      </c>
      <c r="F155" s="31">
        <f>Summary!F25</f>
        <v>0</v>
      </c>
      <c r="G155" s="31">
        <f>Summary!G25</f>
        <v>0</v>
      </c>
      <c r="H155" s="31" t="str">
        <f>Summary!H25</f>
        <v>S4</v>
      </c>
      <c r="I155" s="31" t="str">
        <f>Summary!I25</f>
        <v>Not identified</v>
      </c>
      <c r="J155" s="42" t="s">
        <v>24</v>
      </c>
      <c r="K155" s="42">
        <f>IF(B155="","",Summary!P25)</f>
        <v>10</v>
      </c>
      <c r="L155" s="43">
        <f>IF(M154="","",WORKDAY.INTL(M154,1,7))</f>
        <v>46359</v>
      </c>
      <c r="M155" s="43">
        <f t="shared" si="48"/>
        <v>46372</v>
      </c>
      <c r="N155" s="42" t="s">
        <v>178</v>
      </c>
      <c r="O155" s="44">
        <f t="shared" si="49"/>
        <v>0</v>
      </c>
      <c r="P155" s="42"/>
      <c r="Q155" s="42" t="s">
        <v>175</v>
      </c>
      <c r="R155" s="47"/>
      <c r="S155" s="47"/>
      <c r="T155" s="43"/>
      <c r="U155" s="43"/>
      <c r="V155" s="42">
        <f t="shared" ca="1" si="42"/>
        <v>0</v>
      </c>
      <c r="W155" s="42" t="str">
        <f t="shared" ca="1" si="43"/>
        <v>Green</v>
      </c>
      <c r="X155" s="42" t="s">
        <v>162</v>
      </c>
      <c r="Y155" s="42"/>
      <c r="Z155" s="42"/>
      <c r="AA155" s="43">
        <v>46236</v>
      </c>
      <c r="AB155" s="42" t="s">
        <v>169</v>
      </c>
    </row>
    <row r="156" spans="1:28" ht="28" customHeight="1">
      <c r="A156" s="31" t="str">
        <f>Summary!A25</f>
        <v>RPA-022</v>
      </c>
      <c r="B156" s="31" t="str">
        <f>Summary!B25</f>
        <v>Process 22 — Pending Identification</v>
      </c>
      <c r="C156" s="31">
        <f>Summary!C25</f>
        <v>0</v>
      </c>
      <c r="D156" s="31">
        <f>Summary!D25</f>
        <v>0</v>
      </c>
      <c r="E156" s="41">
        <f>Summary!E25</f>
        <v>0</v>
      </c>
      <c r="F156" s="31">
        <f>Summary!F25</f>
        <v>0</v>
      </c>
      <c r="G156" s="31">
        <f>Summary!G25</f>
        <v>0</v>
      </c>
      <c r="H156" s="31" t="str">
        <f>Summary!H25</f>
        <v>S4</v>
      </c>
      <c r="I156" s="31" t="str">
        <f>Summary!I25</f>
        <v>Not identified</v>
      </c>
      <c r="J156" s="42" t="s">
        <v>26</v>
      </c>
      <c r="K156" s="42">
        <f>IF(B156="","",Summary!Q25)</f>
        <v>1</v>
      </c>
      <c r="L156" s="43">
        <f>IF(M155="","",WORKDAY.INTL(M155,1,7))</f>
        <v>46373</v>
      </c>
      <c r="M156" s="43">
        <f t="shared" si="48"/>
        <v>46373</v>
      </c>
      <c r="N156" s="42" t="s">
        <v>178</v>
      </c>
      <c r="O156" s="44">
        <f t="shared" si="49"/>
        <v>0</v>
      </c>
      <c r="P156" s="42"/>
      <c r="Q156" s="42" t="s">
        <v>180</v>
      </c>
      <c r="R156" s="47"/>
      <c r="S156" s="47"/>
      <c r="T156" s="43"/>
      <c r="U156" s="43"/>
      <c r="V156" s="42">
        <f t="shared" ca="1" si="42"/>
        <v>0</v>
      </c>
      <c r="W156" s="42" t="str">
        <f t="shared" ca="1" si="43"/>
        <v>Green</v>
      </c>
      <c r="X156" s="42" t="s">
        <v>162</v>
      </c>
      <c r="Y156" s="42"/>
      <c r="Z156" s="42"/>
      <c r="AA156" s="43">
        <v>46236</v>
      </c>
      <c r="AB156" s="42" t="s">
        <v>169</v>
      </c>
    </row>
    <row r="157" spans="1:28" ht="28" customHeight="1">
      <c r="A157" s="31" t="str">
        <f>Summary!A25</f>
        <v>RPA-022</v>
      </c>
      <c r="B157" s="31" t="str">
        <f>Summary!B25</f>
        <v>Process 22 — Pending Identification</v>
      </c>
      <c r="C157" s="31">
        <f>Summary!C25</f>
        <v>0</v>
      </c>
      <c r="D157" s="31">
        <f>Summary!D25</f>
        <v>0</v>
      </c>
      <c r="E157" s="41">
        <f>Summary!E25</f>
        <v>0</v>
      </c>
      <c r="F157" s="31">
        <f>Summary!F25</f>
        <v>0</v>
      </c>
      <c r="G157" s="31">
        <f>Summary!G25</f>
        <v>0</v>
      </c>
      <c r="H157" s="31" t="str">
        <f>Summary!H25</f>
        <v>S4</v>
      </c>
      <c r="I157" s="31" t="str">
        <f>Summary!I25</f>
        <v>Not identified</v>
      </c>
      <c r="J157" s="42" t="s">
        <v>27</v>
      </c>
      <c r="K157" s="42">
        <f>IF(B157="","",Summary!R25)</f>
        <v>1</v>
      </c>
      <c r="L157" s="43">
        <f>IF(M156="","",WORKDAY.INTL(M156,1,7))</f>
        <v>46376</v>
      </c>
      <c r="M157" s="43">
        <f t="shared" si="48"/>
        <v>46376</v>
      </c>
      <c r="N157" s="42" t="s">
        <v>178</v>
      </c>
      <c r="O157" s="44">
        <f t="shared" si="49"/>
        <v>0</v>
      </c>
      <c r="P157" s="42"/>
      <c r="Q157" s="42" t="s">
        <v>175</v>
      </c>
      <c r="R157" s="47"/>
      <c r="S157" s="47"/>
      <c r="T157" s="43"/>
      <c r="U157" s="43"/>
      <c r="V157" s="42">
        <f t="shared" ca="1" si="42"/>
        <v>0</v>
      </c>
      <c r="W157" s="42" t="str">
        <f t="shared" ca="1" si="43"/>
        <v>Green</v>
      </c>
      <c r="X157" s="42" t="s">
        <v>162</v>
      </c>
      <c r="Y157" s="42"/>
      <c r="Z157" s="42"/>
      <c r="AA157" s="43">
        <v>46236</v>
      </c>
      <c r="AB157" s="42" t="s">
        <v>169</v>
      </c>
    </row>
    <row r="158" spans="1:28" ht="28" customHeight="1">
      <c r="A158" s="30" t="str">
        <f>Summary!A26</f>
        <v>RPA-023</v>
      </c>
      <c r="B158" s="30" t="str">
        <f>Summary!B26</f>
        <v>Process 23 — Pending Identification</v>
      </c>
      <c r="C158" s="30">
        <f>Summary!C26</f>
        <v>0</v>
      </c>
      <c r="D158" s="30">
        <f>Summary!D26</f>
        <v>0</v>
      </c>
      <c r="E158" s="38">
        <f>Summary!E26</f>
        <v>0</v>
      </c>
      <c r="F158" s="30">
        <f>Summary!F26</f>
        <v>0</v>
      </c>
      <c r="G158" s="30">
        <f>Summary!G26</f>
        <v>0</v>
      </c>
      <c r="H158" s="30" t="str">
        <f>Summary!H26</f>
        <v>S2</v>
      </c>
      <c r="I158" s="30" t="str">
        <f>Summary!I26</f>
        <v>Not identified</v>
      </c>
      <c r="J158" s="30" t="s">
        <v>161</v>
      </c>
      <c r="K158" s="30">
        <f>IF(B158="","",SUM(K159:K164))</f>
        <v>34</v>
      </c>
      <c r="L158" s="39">
        <f>IF(B158="","",L159)</f>
        <v>46345</v>
      </c>
      <c r="M158" s="39">
        <f>IF(B158="","",M164)</f>
        <v>46392</v>
      </c>
      <c r="N158" s="30" t="str">
        <f>IF(B158="","",IF(O158=100%,"Completed",IF(COUNTIF(N159:N164,"On Hold")&gt;0,"On Hold",IF(O158&gt;0%,"In Progress","Not Started"))))</f>
        <v>Not Started</v>
      </c>
      <c r="O158" s="44">
        <f>IF(B158="","",AVERAGE(O159:O164))</f>
        <v>0</v>
      </c>
      <c r="P158" s="40"/>
      <c r="Q158" s="40"/>
      <c r="R158" s="46"/>
      <c r="S158" s="46"/>
      <c r="T158" s="40" t="str">
        <f>IF(COUNT(T159:T164)=0,"",MIN(T159:T164))</f>
        <v/>
      </c>
      <c r="U158" s="40" t="str">
        <f>IF(COUNT(U159:U164)=0,"",MAX(U159:U164))</f>
        <v/>
      </c>
      <c r="V158" s="40">
        <f t="shared" ca="1" si="42"/>
        <v>0</v>
      </c>
      <c r="W158" s="40" t="str">
        <f t="shared" ca="1" si="43"/>
        <v>Green</v>
      </c>
      <c r="X158" s="40" t="s">
        <v>162</v>
      </c>
      <c r="Y158" s="40"/>
      <c r="Z158" s="40"/>
      <c r="AA158" s="40">
        <v>46236</v>
      </c>
      <c r="AB158" s="40" t="s">
        <v>169</v>
      </c>
    </row>
    <row r="159" spans="1:28" ht="28" customHeight="1">
      <c r="A159" s="31" t="str">
        <f>Summary!A26</f>
        <v>RPA-023</v>
      </c>
      <c r="B159" s="31" t="str">
        <f>Summary!B26</f>
        <v>Process 23 — Pending Identification</v>
      </c>
      <c r="C159" s="31">
        <f>Summary!C26</f>
        <v>0</v>
      </c>
      <c r="D159" s="31">
        <f>Summary!D26</f>
        <v>0</v>
      </c>
      <c r="E159" s="41">
        <f>Summary!E26</f>
        <v>0</v>
      </c>
      <c r="F159" s="31">
        <f>Summary!F26</f>
        <v>0</v>
      </c>
      <c r="G159" s="31">
        <f>Summary!G26</f>
        <v>0</v>
      </c>
      <c r="H159" s="31" t="str">
        <f>Summary!H26</f>
        <v>S2</v>
      </c>
      <c r="I159" s="31" t="str">
        <f>Summary!I26</f>
        <v>Not identified</v>
      </c>
      <c r="J159" s="42" t="s">
        <v>18</v>
      </c>
      <c r="K159" s="42">
        <f>IF(B159="","",Summary!M26)</f>
        <v>20</v>
      </c>
      <c r="L159" s="43">
        <f>IF(Summary!$L26="","",Summary!$L26)</f>
        <v>46345</v>
      </c>
      <c r="M159" s="43">
        <f t="shared" ref="M159:M164" si="50">IF(OR(L159="",K159=""),"",WORKDAY.INTL(L159-1,K159,7))</f>
        <v>46372</v>
      </c>
      <c r="N159" s="42" t="s">
        <v>178</v>
      </c>
      <c r="O159" s="44">
        <f t="shared" ref="O159:O164" si="51">IF(B159="","",IF(N159="Completed",100%,IF(OR(N159="In Progress",N159="On Hold"),50%,0%)))</f>
        <v>0</v>
      </c>
      <c r="P159" s="42"/>
      <c r="Q159" s="42" t="s">
        <v>171</v>
      </c>
      <c r="R159" s="47"/>
      <c r="S159" s="47"/>
      <c r="T159" s="43"/>
      <c r="U159" s="43"/>
      <c r="V159" s="42">
        <f t="shared" ca="1" si="42"/>
        <v>0</v>
      </c>
      <c r="W159" s="42" t="str">
        <f t="shared" ca="1" si="43"/>
        <v>Green</v>
      </c>
      <c r="X159" s="42" t="s">
        <v>162</v>
      </c>
      <c r="Y159" s="42"/>
      <c r="Z159" s="42"/>
      <c r="AA159" s="43">
        <v>46236</v>
      </c>
      <c r="AB159" s="42" t="s">
        <v>169</v>
      </c>
    </row>
    <row r="160" spans="1:28" ht="28" customHeight="1">
      <c r="A160" s="31" t="str">
        <f>Summary!A26</f>
        <v>RPA-023</v>
      </c>
      <c r="B160" s="31" t="str">
        <f>Summary!B26</f>
        <v>Process 23 — Pending Identification</v>
      </c>
      <c r="C160" s="31">
        <f>Summary!C26</f>
        <v>0</v>
      </c>
      <c r="D160" s="31">
        <f>Summary!D26</f>
        <v>0</v>
      </c>
      <c r="E160" s="41">
        <f>Summary!E26</f>
        <v>0</v>
      </c>
      <c r="F160" s="31">
        <f>Summary!F26</f>
        <v>0</v>
      </c>
      <c r="G160" s="31">
        <f>Summary!G26</f>
        <v>0</v>
      </c>
      <c r="H160" s="31" t="str">
        <f>Summary!H26</f>
        <v>S2</v>
      </c>
      <c r="I160" s="31" t="str">
        <f>Summary!I26</f>
        <v>Not identified</v>
      </c>
      <c r="J160" s="42" t="s">
        <v>20</v>
      </c>
      <c r="K160" s="42">
        <f>IF(B160="","",Summary!N26)</f>
        <v>1</v>
      </c>
      <c r="L160" s="43">
        <f>IF(M159="","",WORKDAY.INTL(M159,1,7))</f>
        <v>46373</v>
      </c>
      <c r="M160" s="43">
        <f t="shared" si="50"/>
        <v>46373</v>
      </c>
      <c r="N160" s="42" t="s">
        <v>178</v>
      </c>
      <c r="O160" s="44">
        <f t="shared" si="51"/>
        <v>0</v>
      </c>
      <c r="P160" s="42"/>
      <c r="Q160" s="42" t="s">
        <v>171</v>
      </c>
      <c r="R160" s="47"/>
      <c r="S160" s="47"/>
      <c r="T160" s="43"/>
      <c r="U160" s="43"/>
      <c r="V160" s="42">
        <f t="shared" ca="1" si="42"/>
        <v>0</v>
      </c>
      <c r="W160" s="42" t="str">
        <f t="shared" ca="1" si="43"/>
        <v>Green</v>
      </c>
      <c r="X160" s="42" t="s">
        <v>162</v>
      </c>
      <c r="Y160" s="42"/>
      <c r="Z160" s="42"/>
      <c r="AA160" s="43">
        <v>46236</v>
      </c>
      <c r="AB160" s="42" t="s">
        <v>169</v>
      </c>
    </row>
    <row r="161" spans="1:28" ht="28" customHeight="1">
      <c r="A161" s="31" t="str">
        <f>Summary!A26</f>
        <v>RPA-023</v>
      </c>
      <c r="B161" s="31" t="str">
        <f>Summary!B26</f>
        <v>Process 23 — Pending Identification</v>
      </c>
      <c r="C161" s="31">
        <f>Summary!C26</f>
        <v>0</v>
      </c>
      <c r="D161" s="31">
        <f>Summary!D26</f>
        <v>0</v>
      </c>
      <c r="E161" s="41">
        <f>Summary!E26</f>
        <v>0</v>
      </c>
      <c r="F161" s="31">
        <f>Summary!F26</f>
        <v>0</v>
      </c>
      <c r="G161" s="31">
        <f>Summary!G26</f>
        <v>0</v>
      </c>
      <c r="H161" s="31" t="str">
        <f>Summary!H26</f>
        <v>S2</v>
      </c>
      <c r="I161" s="31" t="str">
        <f>Summary!I26</f>
        <v>Not identified</v>
      </c>
      <c r="J161" s="42" t="s">
        <v>22</v>
      </c>
      <c r="K161" s="42">
        <f>IF(B161="","",Summary!O26)</f>
        <v>1</v>
      </c>
      <c r="L161" s="43">
        <f>IF(M160="","",WORKDAY.INTL(M160,1,7))</f>
        <v>46376</v>
      </c>
      <c r="M161" s="43">
        <f t="shared" si="50"/>
        <v>46376</v>
      </c>
      <c r="N161" s="42" t="s">
        <v>178</v>
      </c>
      <c r="O161" s="44">
        <f t="shared" si="51"/>
        <v>0</v>
      </c>
      <c r="P161" s="42"/>
      <c r="Q161" s="42" t="s">
        <v>172</v>
      </c>
      <c r="R161" s="47"/>
      <c r="S161" s="47"/>
      <c r="T161" s="43"/>
      <c r="U161" s="43"/>
      <c r="V161" s="42">
        <f t="shared" ca="1" si="42"/>
        <v>0</v>
      </c>
      <c r="W161" s="42" t="str">
        <f t="shared" ca="1" si="43"/>
        <v>Green</v>
      </c>
      <c r="X161" s="42" t="s">
        <v>162</v>
      </c>
      <c r="Y161" s="42"/>
      <c r="Z161" s="42"/>
      <c r="AA161" s="43">
        <v>46236</v>
      </c>
      <c r="AB161" s="42" t="s">
        <v>169</v>
      </c>
    </row>
    <row r="162" spans="1:28" ht="28" customHeight="1">
      <c r="A162" s="31" t="str">
        <f>Summary!A26</f>
        <v>RPA-023</v>
      </c>
      <c r="B162" s="31" t="str">
        <f>Summary!B26</f>
        <v>Process 23 — Pending Identification</v>
      </c>
      <c r="C162" s="31">
        <f>Summary!C26</f>
        <v>0</v>
      </c>
      <c r="D162" s="31">
        <f>Summary!D26</f>
        <v>0</v>
      </c>
      <c r="E162" s="41">
        <f>Summary!E26</f>
        <v>0</v>
      </c>
      <c r="F162" s="31">
        <f>Summary!F26</f>
        <v>0</v>
      </c>
      <c r="G162" s="31">
        <f>Summary!G26</f>
        <v>0</v>
      </c>
      <c r="H162" s="31" t="str">
        <f>Summary!H26</f>
        <v>S2</v>
      </c>
      <c r="I162" s="31" t="str">
        <f>Summary!I26</f>
        <v>Not identified</v>
      </c>
      <c r="J162" s="42" t="s">
        <v>24</v>
      </c>
      <c r="K162" s="42">
        <f>IF(B162="","",Summary!P26)</f>
        <v>10</v>
      </c>
      <c r="L162" s="43">
        <f>IF(M161="","",WORKDAY.INTL(M161,1,7))</f>
        <v>46377</v>
      </c>
      <c r="M162" s="43">
        <f t="shared" si="50"/>
        <v>46390</v>
      </c>
      <c r="N162" s="42" t="s">
        <v>178</v>
      </c>
      <c r="O162" s="44">
        <f t="shared" si="51"/>
        <v>0</v>
      </c>
      <c r="P162" s="42"/>
      <c r="Q162" s="42" t="s">
        <v>175</v>
      </c>
      <c r="R162" s="47"/>
      <c r="S162" s="47"/>
      <c r="T162" s="43"/>
      <c r="U162" s="43"/>
      <c r="V162" s="42">
        <f t="shared" ca="1" si="42"/>
        <v>0</v>
      </c>
      <c r="W162" s="42" t="str">
        <f t="shared" ca="1" si="43"/>
        <v>Green</v>
      </c>
      <c r="X162" s="42" t="s">
        <v>162</v>
      </c>
      <c r="Y162" s="42"/>
      <c r="Z162" s="42"/>
      <c r="AA162" s="43">
        <v>46236</v>
      </c>
      <c r="AB162" s="42" t="s">
        <v>169</v>
      </c>
    </row>
    <row r="163" spans="1:28" ht="28" customHeight="1">
      <c r="A163" s="31" t="str">
        <f>Summary!A26</f>
        <v>RPA-023</v>
      </c>
      <c r="B163" s="31" t="str">
        <f>Summary!B26</f>
        <v>Process 23 — Pending Identification</v>
      </c>
      <c r="C163" s="31">
        <f>Summary!C26</f>
        <v>0</v>
      </c>
      <c r="D163" s="31">
        <f>Summary!D26</f>
        <v>0</v>
      </c>
      <c r="E163" s="41">
        <f>Summary!E26</f>
        <v>0</v>
      </c>
      <c r="F163" s="31">
        <f>Summary!F26</f>
        <v>0</v>
      </c>
      <c r="G163" s="31">
        <f>Summary!G26</f>
        <v>0</v>
      </c>
      <c r="H163" s="31" t="str">
        <f>Summary!H26</f>
        <v>S2</v>
      </c>
      <c r="I163" s="31" t="str">
        <f>Summary!I26</f>
        <v>Not identified</v>
      </c>
      <c r="J163" s="42" t="s">
        <v>26</v>
      </c>
      <c r="K163" s="42">
        <f>IF(B163="","",Summary!Q26)</f>
        <v>1</v>
      </c>
      <c r="L163" s="43">
        <f>IF(M162="","",WORKDAY.INTL(M162,1,7))</f>
        <v>46391</v>
      </c>
      <c r="M163" s="43">
        <f t="shared" si="50"/>
        <v>46391</v>
      </c>
      <c r="N163" s="42" t="s">
        <v>178</v>
      </c>
      <c r="O163" s="44">
        <f t="shared" si="51"/>
        <v>0</v>
      </c>
      <c r="P163" s="42"/>
      <c r="Q163" s="42" t="s">
        <v>180</v>
      </c>
      <c r="R163" s="47"/>
      <c r="S163" s="47"/>
      <c r="T163" s="43"/>
      <c r="U163" s="43"/>
      <c r="V163" s="42">
        <f t="shared" ca="1" si="42"/>
        <v>0</v>
      </c>
      <c r="W163" s="42" t="str">
        <f t="shared" ca="1" si="43"/>
        <v>Green</v>
      </c>
      <c r="X163" s="42" t="s">
        <v>162</v>
      </c>
      <c r="Y163" s="42"/>
      <c r="Z163" s="42"/>
      <c r="AA163" s="43">
        <v>46236</v>
      </c>
      <c r="AB163" s="42" t="s">
        <v>169</v>
      </c>
    </row>
    <row r="164" spans="1:28" ht="28" customHeight="1">
      <c r="A164" s="31" t="str">
        <f>Summary!A26</f>
        <v>RPA-023</v>
      </c>
      <c r="B164" s="31" t="str">
        <f>Summary!B26</f>
        <v>Process 23 — Pending Identification</v>
      </c>
      <c r="C164" s="31">
        <f>Summary!C26</f>
        <v>0</v>
      </c>
      <c r="D164" s="31">
        <f>Summary!D26</f>
        <v>0</v>
      </c>
      <c r="E164" s="41">
        <f>Summary!E26</f>
        <v>0</v>
      </c>
      <c r="F164" s="31">
        <f>Summary!F26</f>
        <v>0</v>
      </c>
      <c r="G164" s="31">
        <f>Summary!G26</f>
        <v>0</v>
      </c>
      <c r="H164" s="31" t="str">
        <f>Summary!H26</f>
        <v>S2</v>
      </c>
      <c r="I164" s="31" t="str">
        <f>Summary!I26</f>
        <v>Not identified</v>
      </c>
      <c r="J164" s="42" t="s">
        <v>27</v>
      </c>
      <c r="K164" s="42">
        <f>IF(B164="","",Summary!R26)</f>
        <v>1</v>
      </c>
      <c r="L164" s="43">
        <f>IF(M163="","",WORKDAY.INTL(M163,1,7))</f>
        <v>46392</v>
      </c>
      <c r="M164" s="43">
        <f t="shared" si="50"/>
        <v>46392</v>
      </c>
      <c r="N164" s="42" t="s">
        <v>178</v>
      </c>
      <c r="O164" s="44">
        <f t="shared" si="51"/>
        <v>0</v>
      </c>
      <c r="P164" s="42"/>
      <c r="Q164" s="42" t="s">
        <v>175</v>
      </c>
      <c r="R164" s="47"/>
      <c r="S164" s="47"/>
      <c r="T164" s="43"/>
      <c r="U164" s="43"/>
      <c r="V164" s="42">
        <f t="shared" ca="1" si="42"/>
        <v>0</v>
      </c>
      <c r="W164" s="42" t="str">
        <f t="shared" ca="1" si="43"/>
        <v>Green</v>
      </c>
      <c r="X164" s="42" t="s">
        <v>162</v>
      </c>
      <c r="Y164" s="42"/>
      <c r="Z164" s="42"/>
      <c r="AA164" s="43">
        <v>46236</v>
      </c>
      <c r="AB164" s="42" t="s">
        <v>169</v>
      </c>
    </row>
    <row r="165" spans="1:28" ht="28" customHeight="1">
      <c r="A165" s="30" t="str">
        <f>Summary!A27</f>
        <v>RPA-024</v>
      </c>
      <c r="B165" s="30" t="str">
        <f>Summary!B27</f>
        <v>Process 24 — Pending Identification</v>
      </c>
      <c r="C165" s="30">
        <f>Summary!C27</f>
        <v>0</v>
      </c>
      <c r="D165" s="30">
        <f>Summary!D27</f>
        <v>0</v>
      </c>
      <c r="E165" s="38">
        <f>Summary!E27</f>
        <v>0</v>
      </c>
      <c r="F165" s="30">
        <f>Summary!F27</f>
        <v>0</v>
      </c>
      <c r="G165" s="30">
        <f>Summary!G27</f>
        <v>0</v>
      </c>
      <c r="H165" s="30" t="str">
        <f>Summary!H27</f>
        <v>S3</v>
      </c>
      <c r="I165" s="30" t="str">
        <f>Summary!I27</f>
        <v>Not identified</v>
      </c>
      <c r="J165" s="30" t="s">
        <v>161</v>
      </c>
      <c r="K165" s="30">
        <f>IF(B165="","",SUM(K166:K171))</f>
        <v>34</v>
      </c>
      <c r="L165" s="39">
        <f>IF(B165="","",L166)</f>
        <v>46345</v>
      </c>
      <c r="M165" s="39">
        <f>IF(B165="","",M171)</f>
        <v>46392</v>
      </c>
      <c r="N165" s="30" t="str">
        <f>IF(B165="","",IF(O165=100%,"Completed",IF(COUNTIF(N166:N171,"On Hold")&gt;0,"On Hold",IF(O165&gt;0%,"In Progress","Not Started"))))</f>
        <v>Not Started</v>
      </c>
      <c r="O165" s="44">
        <f>IF(B165="","",AVERAGE(O166:O171))</f>
        <v>0</v>
      </c>
      <c r="P165" s="40"/>
      <c r="Q165" s="40"/>
      <c r="R165" s="46"/>
      <c r="S165" s="46"/>
      <c r="T165" s="40" t="str">
        <f>IF(COUNT(T166:T171)=0,"",MIN(T166:T171))</f>
        <v/>
      </c>
      <c r="U165" s="40" t="str">
        <f>IF(COUNT(U166:U171)=0,"",MAX(U166:U171))</f>
        <v/>
      </c>
      <c r="V165" s="40">
        <f t="shared" ca="1" si="42"/>
        <v>0</v>
      </c>
      <c r="W165" s="40" t="str">
        <f t="shared" ca="1" si="43"/>
        <v>Green</v>
      </c>
      <c r="X165" s="40" t="s">
        <v>162</v>
      </c>
      <c r="Y165" s="40"/>
      <c r="Z165" s="40"/>
      <c r="AA165" s="40">
        <v>46236</v>
      </c>
      <c r="AB165" s="40" t="s">
        <v>169</v>
      </c>
    </row>
    <row r="166" spans="1:28" ht="28" customHeight="1">
      <c r="A166" s="31" t="str">
        <f>Summary!A27</f>
        <v>RPA-024</v>
      </c>
      <c r="B166" s="31" t="str">
        <f>Summary!B27</f>
        <v>Process 24 — Pending Identification</v>
      </c>
      <c r="C166" s="31">
        <f>Summary!C27</f>
        <v>0</v>
      </c>
      <c r="D166" s="31">
        <f>Summary!D27</f>
        <v>0</v>
      </c>
      <c r="E166" s="41">
        <f>Summary!E27</f>
        <v>0</v>
      </c>
      <c r="F166" s="31">
        <f>Summary!F27</f>
        <v>0</v>
      </c>
      <c r="G166" s="31">
        <f>Summary!G27</f>
        <v>0</v>
      </c>
      <c r="H166" s="31" t="str">
        <f>Summary!H27</f>
        <v>S3</v>
      </c>
      <c r="I166" s="31" t="str">
        <f>Summary!I27</f>
        <v>Not identified</v>
      </c>
      <c r="J166" s="42" t="s">
        <v>18</v>
      </c>
      <c r="K166" s="42">
        <f>IF(B166="","",Summary!M27)</f>
        <v>20</v>
      </c>
      <c r="L166" s="43">
        <f>IF(Summary!$L27="","",Summary!$L27)</f>
        <v>46345</v>
      </c>
      <c r="M166" s="43">
        <f t="shared" ref="M166:M171" si="52">IF(OR(L166="",K166=""),"",WORKDAY.INTL(L166-1,K166,7))</f>
        <v>46372</v>
      </c>
      <c r="N166" s="42" t="s">
        <v>178</v>
      </c>
      <c r="O166" s="44">
        <f t="shared" ref="O166:O171" si="53">IF(B166="","",IF(N166="Completed",100%,IF(OR(N166="In Progress",N166="On Hold"),50%,0%)))</f>
        <v>0</v>
      </c>
      <c r="P166" s="42"/>
      <c r="Q166" s="42" t="s">
        <v>171</v>
      </c>
      <c r="R166" s="47"/>
      <c r="S166" s="47"/>
      <c r="T166" s="43"/>
      <c r="U166" s="43"/>
      <c r="V166" s="42">
        <f t="shared" ca="1" si="42"/>
        <v>0</v>
      </c>
      <c r="W166" s="42" t="str">
        <f t="shared" ca="1" si="43"/>
        <v>Green</v>
      </c>
      <c r="X166" s="42" t="s">
        <v>162</v>
      </c>
      <c r="Y166" s="42"/>
      <c r="Z166" s="42"/>
      <c r="AA166" s="43">
        <v>46236</v>
      </c>
      <c r="AB166" s="42" t="s">
        <v>169</v>
      </c>
    </row>
    <row r="167" spans="1:28" ht="28" customHeight="1">
      <c r="A167" s="31" t="str">
        <f>Summary!A27</f>
        <v>RPA-024</v>
      </c>
      <c r="B167" s="31" t="str">
        <f>Summary!B27</f>
        <v>Process 24 — Pending Identification</v>
      </c>
      <c r="C167" s="31">
        <f>Summary!C27</f>
        <v>0</v>
      </c>
      <c r="D167" s="31">
        <f>Summary!D27</f>
        <v>0</v>
      </c>
      <c r="E167" s="41">
        <f>Summary!E27</f>
        <v>0</v>
      </c>
      <c r="F167" s="31">
        <f>Summary!F27</f>
        <v>0</v>
      </c>
      <c r="G167" s="31">
        <f>Summary!G27</f>
        <v>0</v>
      </c>
      <c r="H167" s="31" t="str">
        <f>Summary!H27</f>
        <v>S3</v>
      </c>
      <c r="I167" s="31" t="str">
        <f>Summary!I27</f>
        <v>Not identified</v>
      </c>
      <c r="J167" s="42" t="s">
        <v>20</v>
      </c>
      <c r="K167" s="42">
        <f>IF(B167="","",Summary!N27)</f>
        <v>1</v>
      </c>
      <c r="L167" s="43">
        <f>IF(M166="","",WORKDAY.INTL(M166,1,7))</f>
        <v>46373</v>
      </c>
      <c r="M167" s="43">
        <f t="shared" si="52"/>
        <v>46373</v>
      </c>
      <c r="N167" s="42" t="s">
        <v>178</v>
      </c>
      <c r="O167" s="44">
        <f t="shared" si="53"/>
        <v>0</v>
      </c>
      <c r="P167" s="42"/>
      <c r="Q167" s="42" t="s">
        <v>171</v>
      </c>
      <c r="R167" s="47"/>
      <c r="S167" s="47"/>
      <c r="T167" s="43"/>
      <c r="U167" s="43"/>
      <c r="V167" s="42">
        <f t="shared" ca="1" si="42"/>
        <v>0</v>
      </c>
      <c r="W167" s="42" t="str">
        <f t="shared" ca="1" si="43"/>
        <v>Green</v>
      </c>
      <c r="X167" s="42" t="s">
        <v>162</v>
      </c>
      <c r="Y167" s="42"/>
      <c r="Z167" s="42"/>
      <c r="AA167" s="43">
        <v>46236</v>
      </c>
      <c r="AB167" s="42" t="s">
        <v>169</v>
      </c>
    </row>
    <row r="168" spans="1:28" ht="28" customHeight="1">
      <c r="A168" s="31" t="str">
        <f>Summary!A27</f>
        <v>RPA-024</v>
      </c>
      <c r="B168" s="31" t="str">
        <f>Summary!B27</f>
        <v>Process 24 — Pending Identification</v>
      </c>
      <c r="C168" s="31">
        <f>Summary!C27</f>
        <v>0</v>
      </c>
      <c r="D168" s="31">
        <f>Summary!D27</f>
        <v>0</v>
      </c>
      <c r="E168" s="41">
        <f>Summary!E27</f>
        <v>0</v>
      </c>
      <c r="F168" s="31">
        <f>Summary!F27</f>
        <v>0</v>
      </c>
      <c r="G168" s="31">
        <f>Summary!G27</f>
        <v>0</v>
      </c>
      <c r="H168" s="31" t="str">
        <f>Summary!H27</f>
        <v>S3</v>
      </c>
      <c r="I168" s="31" t="str">
        <f>Summary!I27</f>
        <v>Not identified</v>
      </c>
      <c r="J168" s="42" t="s">
        <v>22</v>
      </c>
      <c r="K168" s="42">
        <f>IF(B168="","",Summary!O27)</f>
        <v>1</v>
      </c>
      <c r="L168" s="43">
        <f>IF(M167="","",WORKDAY.INTL(M167,1,7))</f>
        <v>46376</v>
      </c>
      <c r="M168" s="43">
        <f t="shared" si="52"/>
        <v>46376</v>
      </c>
      <c r="N168" s="42" t="s">
        <v>178</v>
      </c>
      <c r="O168" s="44">
        <f t="shared" si="53"/>
        <v>0</v>
      </c>
      <c r="P168" s="42"/>
      <c r="Q168" s="42" t="s">
        <v>172</v>
      </c>
      <c r="R168" s="47"/>
      <c r="S168" s="47"/>
      <c r="T168" s="43"/>
      <c r="U168" s="43"/>
      <c r="V168" s="42">
        <f t="shared" ca="1" si="42"/>
        <v>0</v>
      </c>
      <c r="W168" s="42" t="str">
        <f t="shared" ca="1" si="43"/>
        <v>Green</v>
      </c>
      <c r="X168" s="42" t="s">
        <v>162</v>
      </c>
      <c r="Y168" s="42"/>
      <c r="Z168" s="42"/>
      <c r="AA168" s="43">
        <v>46236</v>
      </c>
      <c r="AB168" s="42" t="s">
        <v>169</v>
      </c>
    </row>
    <row r="169" spans="1:28" ht="28" customHeight="1">
      <c r="A169" s="31" t="str">
        <f>Summary!A27</f>
        <v>RPA-024</v>
      </c>
      <c r="B169" s="31" t="str">
        <f>Summary!B27</f>
        <v>Process 24 — Pending Identification</v>
      </c>
      <c r="C169" s="31">
        <f>Summary!C27</f>
        <v>0</v>
      </c>
      <c r="D169" s="31">
        <f>Summary!D27</f>
        <v>0</v>
      </c>
      <c r="E169" s="41">
        <f>Summary!E27</f>
        <v>0</v>
      </c>
      <c r="F169" s="31">
        <f>Summary!F27</f>
        <v>0</v>
      </c>
      <c r="G169" s="31">
        <f>Summary!G27</f>
        <v>0</v>
      </c>
      <c r="H169" s="31" t="str">
        <f>Summary!H27</f>
        <v>S3</v>
      </c>
      <c r="I169" s="31" t="str">
        <f>Summary!I27</f>
        <v>Not identified</v>
      </c>
      <c r="J169" s="42" t="s">
        <v>24</v>
      </c>
      <c r="K169" s="42">
        <f>IF(B169="","",Summary!P27)</f>
        <v>10</v>
      </c>
      <c r="L169" s="43">
        <f>IF(M168="","",WORKDAY.INTL(M168,1,7))</f>
        <v>46377</v>
      </c>
      <c r="M169" s="43">
        <f t="shared" si="52"/>
        <v>46390</v>
      </c>
      <c r="N169" s="42" t="s">
        <v>178</v>
      </c>
      <c r="O169" s="44">
        <f t="shared" si="53"/>
        <v>0</v>
      </c>
      <c r="P169" s="42"/>
      <c r="Q169" s="42" t="s">
        <v>175</v>
      </c>
      <c r="R169" s="47"/>
      <c r="S169" s="47"/>
      <c r="T169" s="43"/>
      <c r="U169" s="43"/>
      <c r="V169" s="42">
        <f t="shared" ca="1" si="42"/>
        <v>0</v>
      </c>
      <c r="W169" s="42" t="str">
        <f t="shared" ca="1" si="43"/>
        <v>Green</v>
      </c>
      <c r="X169" s="42" t="s">
        <v>162</v>
      </c>
      <c r="Y169" s="42"/>
      <c r="Z169" s="42"/>
      <c r="AA169" s="43">
        <v>46236</v>
      </c>
      <c r="AB169" s="42" t="s">
        <v>169</v>
      </c>
    </row>
    <row r="170" spans="1:28" ht="28" customHeight="1">
      <c r="A170" s="31" t="str">
        <f>Summary!A27</f>
        <v>RPA-024</v>
      </c>
      <c r="B170" s="31" t="str">
        <f>Summary!B27</f>
        <v>Process 24 — Pending Identification</v>
      </c>
      <c r="C170" s="31">
        <f>Summary!C27</f>
        <v>0</v>
      </c>
      <c r="D170" s="31">
        <f>Summary!D27</f>
        <v>0</v>
      </c>
      <c r="E170" s="41">
        <f>Summary!E27</f>
        <v>0</v>
      </c>
      <c r="F170" s="31">
        <f>Summary!F27</f>
        <v>0</v>
      </c>
      <c r="G170" s="31">
        <f>Summary!G27</f>
        <v>0</v>
      </c>
      <c r="H170" s="31" t="str">
        <f>Summary!H27</f>
        <v>S3</v>
      </c>
      <c r="I170" s="31" t="str">
        <f>Summary!I27</f>
        <v>Not identified</v>
      </c>
      <c r="J170" s="42" t="s">
        <v>26</v>
      </c>
      <c r="K170" s="42">
        <f>IF(B170="","",Summary!Q27)</f>
        <v>1</v>
      </c>
      <c r="L170" s="43">
        <f>IF(M169="","",WORKDAY.INTL(M169,1,7))</f>
        <v>46391</v>
      </c>
      <c r="M170" s="43">
        <f t="shared" si="52"/>
        <v>46391</v>
      </c>
      <c r="N170" s="42" t="s">
        <v>178</v>
      </c>
      <c r="O170" s="44">
        <f t="shared" si="53"/>
        <v>0</v>
      </c>
      <c r="P170" s="42"/>
      <c r="Q170" s="42" t="s">
        <v>180</v>
      </c>
      <c r="R170" s="47"/>
      <c r="S170" s="47"/>
      <c r="T170" s="43"/>
      <c r="U170" s="43"/>
      <c r="V170" s="42">
        <f t="shared" ca="1" si="42"/>
        <v>0</v>
      </c>
      <c r="W170" s="42" t="str">
        <f t="shared" ca="1" si="43"/>
        <v>Green</v>
      </c>
      <c r="X170" s="42" t="s">
        <v>162</v>
      </c>
      <c r="Y170" s="42"/>
      <c r="Z170" s="42"/>
      <c r="AA170" s="43">
        <v>46236</v>
      </c>
      <c r="AB170" s="42" t="s">
        <v>169</v>
      </c>
    </row>
    <row r="171" spans="1:28" ht="28" customHeight="1">
      <c r="A171" s="31" t="str">
        <f>Summary!A27</f>
        <v>RPA-024</v>
      </c>
      <c r="B171" s="31" t="str">
        <f>Summary!B27</f>
        <v>Process 24 — Pending Identification</v>
      </c>
      <c r="C171" s="31">
        <f>Summary!C27</f>
        <v>0</v>
      </c>
      <c r="D171" s="31">
        <f>Summary!D27</f>
        <v>0</v>
      </c>
      <c r="E171" s="41">
        <f>Summary!E27</f>
        <v>0</v>
      </c>
      <c r="F171" s="31">
        <f>Summary!F27</f>
        <v>0</v>
      </c>
      <c r="G171" s="31">
        <f>Summary!G27</f>
        <v>0</v>
      </c>
      <c r="H171" s="31" t="str">
        <f>Summary!H27</f>
        <v>S3</v>
      </c>
      <c r="I171" s="31" t="str">
        <f>Summary!I27</f>
        <v>Not identified</v>
      </c>
      <c r="J171" s="42" t="s">
        <v>27</v>
      </c>
      <c r="K171" s="42">
        <f>IF(B171="","",Summary!R27)</f>
        <v>1</v>
      </c>
      <c r="L171" s="43">
        <f>IF(M170="","",WORKDAY.INTL(M170,1,7))</f>
        <v>46392</v>
      </c>
      <c r="M171" s="43">
        <f t="shared" si="52"/>
        <v>46392</v>
      </c>
      <c r="N171" s="42" t="s">
        <v>178</v>
      </c>
      <c r="O171" s="44">
        <f t="shared" si="53"/>
        <v>0</v>
      </c>
      <c r="P171" s="42"/>
      <c r="Q171" s="42" t="s">
        <v>175</v>
      </c>
      <c r="R171" s="47"/>
      <c r="S171" s="47"/>
      <c r="T171" s="43"/>
      <c r="U171" s="43"/>
      <c r="V171" s="42">
        <f t="shared" ca="1" si="42"/>
        <v>0</v>
      </c>
      <c r="W171" s="42" t="str">
        <f t="shared" ca="1" si="43"/>
        <v>Green</v>
      </c>
      <c r="X171" s="42" t="s">
        <v>162</v>
      </c>
      <c r="Y171" s="42"/>
      <c r="Z171" s="42"/>
      <c r="AA171" s="43">
        <v>46236</v>
      </c>
      <c r="AB171" s="42" t="s">
        <v>169</v>
      </c>
    </row>
    <row r="172" spans="1:28" ht="28" customHeight="1">
      <c r="A172" s="30" t="str">
        <f>Summary!A28</f>
        <v>RPA-025</v>
      </c>
      <c r="B172" s="30" t="str">
        <f>Summary!B28</f>
        <v>Process 25 — Pending Identification</v>
      </c>
      <c r="C172" s="30">
        <f>Summary!C28</f>
        <v>0</v>
      </c>
      <c r="D172" s="30">
        <f>Summary!D28</f>
        <v>0</v>
      </c>
      <c r="E172" s="38">
        <f>Summary!E28</f>
        <v>0</v>
      </c>
      <c r="F172" s="30">
        <f>Summary!F28</f>
        <v>0</v>
      </c>
      <c r="G172" s="30">
        <f>Summary!G28</f>
        <v>0</v>
      </c>
      <c r="H172" s="30" t="str">
        <f>Summary!H28</f>
        <v>S5</v>
      </c>
      <c r="I172" s="30" t="str">
        <f>Summary!I28</f>
        <v>Not identified</v>
      </c>
      <c r="J172" s="30" t="s">
        <v>161</v>
      </c>
      <c r="K172" s="30">
        <f>IF(B172="","",SUM(K173:K178))</f>
        <v>34</v>
      </c>
      <c r="L172" s="39">
        <f>IF(B172="","",L173)</f>
        <v>46377</v>
      </c>
      <c r="M172" s="39">
        <f>IF(B172="","",M178)</f>
        <v>46422</v>
      </c>
      <c r="N172" s="30" t="str">
        <f>IF(B172="","",IF(O172=100%,"Completed",IF(COUNTIF(N173:N178,"On Hold")&gt;0,"On Hold",IF(O172&gt;0%,"In Progress","Not Started"))))</f>
        <v>Not Started</v>
      </c>
      <c r="O172" s="44">
        <f>IF(B172="","",AVERAGE(O173:O178))</f>
        <v>0</v>
      </c>
      <c r="P172" s="40"/>
      <c r="Q172" s="40"/>
      <c r="R172" s="46"/>
      <c r="S172" s="46"/>
      <c r="T172" s="40" t="str">
        <f>IF(COUNT(T173:T178)=0,"",MIN(T173:T178))</f>
        <v/>
      </c>
      <c r="U172" s="40" t="str">
        <f>IF(COUNT(U173:U178)=0,"",MAX(U173:U178))</f>
        <v/>
      </c>
      <c r="V172" s="40">
        <f t="shared" ca="1" si="42"/>
        <v>0</v>
      </c>
      <c r="W172" s="40" t="str">
        <f t="shared" ca="1" si="43"/>
        <v>Green</v>
      </c>
      <c r="X172" s="40" t="s">
        <v>162</v>
      </c>
      <c r="Y172" s="40"/>
      <c r="Z172" s="40"/>
      <c r="AA172" s="40">
        <v>46236</v>
      </c>
      <c r="AB172" s="40" t="s">
        <v>169</v>
      </c>
    </row>
    <row r="173" spans="1:28" ht="28" customHeight="1">
      <c r="A173" s="31" t="str">
        <f>Summary!A28</f>
        <v>RPA-025</v>
      </c>
      <c r="B173" s="31" t="str">
        <f>Summary!B28</f>
        <v>Process 25 — Pending Identification</v>
      </c>
      <c r="C173" s="31">
        <f>Summary!C28</f>
        <v>0</v>
      </c>
      <c r="D173" s="31">
        <f>Summary!D28</f>
        <v>0</v>
      </c>
      <c r="E173" s="41">
        <f>Summary!E28</f>
        <v>0</v>
      </c>
      <c r="F173" s="31">
        <f>Summary!F28</f>
        <v>0</v>
      </c>
      <c r="G173" s="31">
        <f>Summary!G28</f>
        <v>0</v>
      </c>
      <c r="H173" s="31" t="str">
        <f>Summary!H28</f>
        <v>S5</v>
      </c>
      <c r="I173" s="31" t="str">
        <f>Summary!I28</f>
        <v>Not identified</v>
      </c>
      <c r="J173" s="42" t="s">
        <v>18</v>
      </c>
      <c r="K173" s="42">
        <f>IF(B173="","",Summary!M28)</f>
        <v>20</v>
      </c>
      <c r="L173" s="43">
        <f>IF(Summary!$L28="","",Summary!$L28)</f>
        <v>46377</v>
      </c>
      <c r="M173" s="43">
        <f t="shared" ref="M173:M178" si="54">IF(OR(L173="",K173=""),"",WORKDAY.INTL(L173-1,K173,7))</f>
        <v>46404</v>
      </c>
      <c r="N173" s="42" t="s">
        <v>178</v>
      </c>
      <c r="O173" s="44">
        <f t="shared" ref="O173:O178" si="55">IF(B173="","",IF(N173="Completed",100%,IF(OR(N173="In Progress",N173="On Hold"),50%,0%)))</f>
        <v>0</v>
      </c>
      <c r="P173" s="42"/>
      <c r="Q173" s="42" t="s">
        <v>171</v>
      </c>
      <c r="R173" s="47"/>
      <c r="S173" s="47"/>
      <c r="T173" s="43"/>
      <c r="U173" s="43"/>
      <c r="V173" s="42">
        <f t="shared" ca="1" si="42"/>
        <v>0</v>
      </c>
      <c r="W173" s="42" t="str">
        <f t="shared" ca="1" si="43"/>
        <v>Green</v>
      </c>
      <c r="X173" s="42" t="s">
        <v>162</v>
      </c>
      <c r="Y173" s="42"/>
      <c r="Z173" s="42"/>
      <c r="AA173" s="43">
        <v>46236</v>
      </c>
      <c r="AB173" s="42" t="s">
        <v>169</v>
      </c>
    </row>
    <row r="174" spans="1:28" ht="28" customHeight="1">
      <c r="A174" s="31" t="str">
        <f>Summary!A28</f>
        <v>RPA-025</v>
      </c>
      <c r="B174" s="31" t="str">
        <f>Summary!B28</f>
        <v>Process 25 — Pending Identification</v>
      </c>
      <c r="C174" s="31">
        <f>Summary!C28</f>
        <v>0</v>
      </c>
      <c r="D174" s="31">
        <f>Summary!D28</f>
        <v>0</v>
      </c>
      <c r="E174" s="41">
        <f>Summary!E28</f>
        <v>0</v>
      </c>
      <c r="F174" s="31">
        <f>Summary!F28</f>
        <v>0</v>
      </c>
      <c r="G174" s="31">
        <f>Summary!G28</f>
        <v>0</v>
      </c>
      <c r="H174" s="31" t="str">
        <f>Summary!H28</f>
        <v>S5</v>
      </c>
      <c r="I174" s="31" t="str">
        <f>Summary!I28</f>
        <v>Not identified</v>
      </c>
      <c r="J174" s="42" t="s">
        <v>20</v>
      </c>
      <c r="K174" s="42">
        <f>IF(B174="","",Summary!N28)</f>
        <v>1</v>
      </c>
      <c r="L174" s="43">
        <f>IF(M173="","",WORKDAY.INTL(M173,1,7))</f>
        <v>46405</v>
      </c>
      <c r="M174" s="43">
        <f t="shared" si="54"/>
        <v>46405</v>
      </c>
      <c r="N174" s="42" t="s">
        <v>178</v>
      </c>
      <c r="O174" s="44">
        <f t="shared" si="55"/>
        <v>0</v>
      </c>
      <c r="P174" s="42"/>
      <c r="Q174" s="42" t="s">
        <v>171</v>
      </c>
      <c r="R174" s="47"/>
      <c r="S174" s="47"/>
      <c r="T174" s="43"/>
      <c r="U174" s="43"/>
      <c r="V174" s="42">
        <f t="shared" ca="1" si="42"/>
        <v>0</v>
      </c>
      <c r="W174" s="42" t="str">
        <f t="shared" ca="1" si="43"/>
        <v>Green</v>
      </c>
      <c r="X174" s="42" t="s">
        <v>162</v>
      </c>
      <c r="Y174" s="42"/>
      <c r="Z174" s="42"/>
      <c r="AA174" s="43">
        <v>46236</v>
      </c>
      <c r="AB174" s="42" t="s">
        <v>169</v>
      </c>
    </row>
    <row r="175" spans="1:28" ht="28" customHeight="1">
      <c r="A175" s="31" t="str">
        <f>Summary!A28</f>
        <v>RPA-025</v>
      </c>
      <c r="B175" s="31" t="str">
        <f>Summary!B28</f>
        <v>Process 25 — Pending Identification</v>
      </c>
      <c r="C175" s="31">
        <f>Summary!C28</f>
        <v>0</v>
      </c>
      <c r="D175" s="31">
        <f>Summary!D28</f>
        <v>0</v>
      </c>
      <c r="E175" s="41">
        <f>Summary!E28</f>
        <v>0</v>
      </c>
      <c r="F175" s="31">
        <f>Summary!F28</f>
        <v>0</v>
      </c>
      <c r="G175" s="31">
        <f>Summary!G28</f>
        <v>0</v>
      </c>
      <c r="H175" s="31" t="str">
        <f>Summary!H28</f>
        <v>S5</v>
      </c>
      <c r="I175" s="31" t="str">
        <f>Summary!I28</f>
        <v>Not identified</v>
      </c>
      <c r="J175" s="42" t="s">
        <v>22</v>
      </c>
      <c r="K175" s="42">
        <f>IF(B175="","",Summary!O28)</f>
        <v>1</v>
      </c>
      <c r="L175" s="43">
        <f>IF(M174="","",WORKDAY.INTL(M174,1,7))</f>
        <v>46406</v>
      </c>
      <c r="M175" s="43">
        <f t="shared" si="54"/>
        <v>46406</v>
      </c>
      <c r="N175" s="42" t="s">
        <v>178</v>
      </c>
      <c r="O175" s="44">
        <f t="shared" si="55"/>
        <v>0</v>
      </c>
      <c r="P175" s="42"/>
      <c r="Q175" s="42" t="s">
        <v>172</v>
      </c>
      <c r="R175" s="47"/>
      <c r="S175" s="47"/>
      <c r="T175" s="43"/>
      <c r="U175" s="43"/>
      <c r="V175" s="42">
        <f t="shared" ca="1" si="42"/>
        <v>0</v>
      </c>
      <c r="W175" s="42" t="str">
        <f t="shared" ca="1" si="43"/>
        <v>Green</v>
      </c>
      <c r="X175" s="42" t="s">
        <v>162</v>
      </c>
      <c r="Y175" s="42"/>
      <c r="Z175" s="42"/>
      <c r="AA175" s="43">
        <v>46236</v>
      </c>
      <c r="AB175" s="42" t="s">
        <v>169</v>
      </c>
    </row>
    <row r="176" spans="1:28" ht="28" customHeight="1">
      <c r="A176" s="31" t="str">
        <f>Summary!A28</f>
        <v>RPA-025</v>
      </c>
      <c r="B176" s="31" t="str">
        <f>Summary!B28</f>
        <v>Process 25 — Pending Identification</v>
      </c>
      <c r="C176" s="31">
        <f>Summary!C28</f>
        <v>0</v>
      </c>
      <c r="D176" s="31">
        <f>Summary!D28</f>
        <v>0</v>
      </c>
      <c r="E176" s="41">
        <f>Summary!E28</f>
        <v>0</v>
      </c>
      <c r="F176" s="31">
        <f>Summary!F28</f>
        <v>0</v>
      </c>
      <c r="G176" s="31">
        <f>Summary!G28</f>
        <v>0</v>
      </c>
      <c r="H176" s="31" t="str">
        <f>Summary!H28</f>
        <v>S5</v>
      </c>
      <c r="I176" s="31" t="str">
        <f>Summary!I28</f>
        <v>Not identified</v>
      </c>
      <c r="J176" s="42" t="s">
        <v>24</v>
      </c>
      <c r="K176" s="42">
        <f>IF(B176="","",Summary!P28)</f>
        <v>10</v>
      </c>
      <c r="L176" s="43">
        <f>IF(M175="","",WORKDAY.INTL(M175,1,7))</f>
        <v>46407</v>
      </c>
      <c r="M176" s="43">
        <f t="shared" si="54"/>
        <v>46420</v>
      </c>
      <c r="N176" s="42" t="s">
        <v>178</v>
      </c>
      <c r="O176" s="44">
        <f t="shared" si="55"/>
        <v>0</v>
      </c>
      <c r="P176" s="42"/>
      <c r="Q176" s="42" t="s">
        <v>175</v>
      </c>
      <c r="R176" s="47"/>
      <c r="S176" s="47"/>
      <c r="T176" s="43"/>
      <c r="U176" s="43"/>
      <c r="V176" s="42">
        <f t="shared" ca="1" si="42"/>
        <v>0</v>
      </c>
      <c r="W176" s="42" t="str">
        <f t="shared" ca="1" si="43"/>
        <v>Green</v>
      </c>
      <c r="X176" s="42" t="s">
        <v>162</v>
      </c>
      <c r="Y176" s="42"/>
      <c r="Z176" s="42"/>
      <c r="AA176" s="43">
        <v>46236</v>
      </c>
      <c r="AB176" s="42" t="s">
        <v>169</v>
      </c>
    </row>
    <row r="177" spans="1:28" ht="28" customHeight="1">
      <c r="A177" s="31" t="str">
        <f>Summary!A28</f>
        <v>RPA-025</v>
      </c>
      <c r="B177" s="31" t="str">
        <f>Summary!B28</f>
        <v>Process 25 — Pending Identification</v>
      </c>
      <c r="C177" s="31">
        <f>Summary!C28</f>
        <v>0</v>
      </c>
      <c r="D177" s="31">
        <f>Summary!D28</f>
        <v>0</v>
      </c>
      <c r="E177" s="41">
        <f>Summary!E28</f>
        <v>0</v>
      </c>
      <c r="F177" s="31">
        <f>Summary!F28</f>
        <v>0</v>
      </c>
      <c r="G177" s="31">
        <f>Summary!G28</f>
        <v>0</v>
      </c>
      <c r="H177" s="31" t="str">
        <f>Summary!H28</f>
        <v>S5</v>
      </c>
      <c r="I177" s="31" t="str">
        <f>Summary!I28</f>
        <v>Not identified</v>
      </c>
      <c r="J177" s="42" t="s">
        <v>26</v>
      </c>
      <c r="K177" s="42">
        <f>IF(B177="","",Summary!Q28)</f>
        <v>1</v>
      </c>
      <c r="L177" s="43">
        <f>IF(M176="","",WORKDAY.INTL(M176,1,7))</f>
        <v>46421</v>
      </c>
      <c r="M177" s="43">
        <f t="shared" si="54"/>
        <v>46421</v>
      </c>
      <c r="N177" s="42" t="s">
        <v>178</v>
      </c>
      <c r="O177" s="44">
        <f t="shared" si="55"/>
        <v>0</v>
      </c>
      <c r="P177" s="42"/>
      <c r="Q177" s="42" t="s">
        <v>180</v>
      </c>
      <c r="R177" s="47"/>
      <c r="S177" s="47"/>
      <c r="T177" s="43"/>
      <c r="U177" s="43"/>
      <c r="V177" s="42">
        <f t="shared" ca="1" si="42"/>
        <v>0</v>
      </c>
      <c r="W177" s="42" t="str">
        <f t="shared" ca="1" si="43"/>
        <v>Green</v>
      </c>
      <c r="X177" s="42" t="s">
        <v>162</v>
      </c>
      <c r="Y177" s="42"/>
      <c r="Z177" s="42"/>
      <c r="AA177" s="43">
        <v>46236</v>
      </c>
      <c r="AB177" s="42" t="s">
        <v>169</v>
      </c>
    </row>
    <row r="178" spans="1:28" ht="28" customHeight="1">
      <c r="A178" s="31" t="str">
        <f>Summary!A28</f>
        <v>RPA-025</v>
      </c>
      <c r="B178" s="31" t="str">
        <f>Summary!B28</f>
        <v>Process 25 — Pending Identification</v>
      </c>
      <c r="C178" s="31">
        <f>Summary!C28</f>
        <v>0</v>
      </c>
      <c r="D178" s="31">
        <f>Summary!D28</f>
        <v>0</v>
      </c>
      <c r="E178" s="41">
        <f>Summary!E28</f>
        <v>0</v>
      </c>
      <c r="F178" s="31">
        <f>Summary!F28</f>
        <v>0</v>
      </c>
      <c r="G178" s="31">
        <f>Summary!G28</f>
        <v>0</v>
      </c>
      <c r="H178" s="31" t="str">
        <f>Summary!H28</f>
        <v>S5</v>
      </c>
      <c r="I178" s="31" t="str">
        <f>Summary!I28</f>
        <v>Not identified</v>
      </c>
      <c r="J178" s="42" t="s">
        <v>27</v>
      </c>
      <c r="K178" s="42">
        <f>IF(B178="","",Summary!R28)</f>
        <v>1</v>
      </c>
      <c r="L178" s="43">
        <f>IF(M177="","",WORKDAY.INTL(M177,1,7))</f>
        <v>46422</v>
      </c>
      <c r="M178" s="43">
        <f t="shared" si="54"/>
        <v>46422</v>
      </c>
      <c r="N178" s="42" t="s">
        <v>178</v>
      </c>
      <c r="O178" s="44">
        <f t="shared" si="55"/>
        <v>0</v>
      </c>
      <c r="P178" s="42"/>
      <c r="Q178" s="42" t="s">
        <v>175</v>
      </c>
      <c r="R178" s="47"/>
      <c r="S178" s="47"/>
      <c r="T178" s="43"/>
      <c r="U178" s="43"/>
      <c r="V178" s="42">
        <f t="shared" ca="1" si="42"/>
        <v>0</v>
      </c>
      <c r="W178" s="42" t="str">
        <f t="shared" ca="1" si="43"/>
        <v>Green</v>
      </c>
      <c r="X178" s="42" t="s">
        <v>162</v>
      </c>
      <c r="Y178" s="42"/>
      <c r="Z178" s="42"/>
      <c r="AA178" s="43">
        <v>46236</v>
      </c>
      <c r="AB178" s="42" t="s">
        <v>169</v>
      </c>
    </row>
    <row r="179" spans="1:28" ht="28" customHeight="1">
      <c r="A179" s="30" t="str">
        <f>Summary!A29</f>
        <v>RPA-026</v>
      </c>
      <c r="B179" s="30" t="str">
        <f>Summary!B29</f>
        <v>Process 26 — Pending Identification</v>
      </c>
      <c r="C179" s="30">
        <f>Summary!C29</f>
        <v>0</v>
      </c>
      <c r="D179" s="30">
        <f>Summary!D29</f>
        <v>0</v>
      </c>
      <c r="E179" s="38">
        <f>Summary!E29</f>
        <v>0</v>
      </c>
      <c r="F179" s="30">
        <f>Summary!F29</f>
        <v>0</v>
      </c>
      <c r="G179" s="30">
        <f>Summary!G29</f>
        <v>0</v>
      </c>
      <c r="H179" s="30" t="str">
        <f>Summary!H29</f>
        <v>S1</v>
      </c>
      <c r="I179" s="30" t="str">
        <f>Summary!I29</f>
        <v>Not identified</v>
      </c>
      <c r="J179" s="30" t="s">
        <v>161</v>
      </c>
      <c r="K179" s="30">
        <f>IF(B179="","",SUM(K180:K185))</f>
        <v>34</v>
      </c>
      <c r="L179" s="39">
        <f>IF(B179="","",L180)</f>
        <v>46377</v>
      </c>
      <c r="M179" s="39">
        <f>IF(B179="","",M185)</f>
        <v>46422</v>
      </c>
      <c r="N179" s="30" t="str">
        <f>IF(B179="","",IF(O179=100%,"Completed",IF(COUNTIF(N180:N185,"On Hold")&gt;0,"On Hold",IF(O179&gt;0%,"In Progress","Not Started"))))</f>
        <v>Not Started</v>
      </c>
      <c r="O179" s="44">
        <f>IF(B179="","",AVERAGE(O180:O185))</f>
        <v>0</v>
      </c>
      <c r="P179" s="40"/>
      <c r="Q179" s="40"/>
      <c r="R179" s="46"/>
      <c r="S179" s="46"/>
      <c r="T179" s="40" t="str">
        <f>IF(COUNT(T180:T185)=0,"",MIN(T180:T185))</f>
        <v/>
      </c>
      <c r="U179" s="40" t="str">
        <f>IF(COUNT(U180:U185)=0,"",MAX(U180:U185))</f>
        <v/>
      </c>
      <c r="V179" s="40">
        <f t="shared" ca="1" si="42"/>
        <v>0</v>
      </c>
      <c r="W179" s="40" t="str">
        <f t="shared" ca="1" si="43"/>
        <v>Green</v>
      </c>
      <c r="X179" s="40" t="s">
        <v>162</v>
      </c>
      <c r="Y179" s="40"/>
      <c r="Z179" s="40"/>
      <c r="AA179" s="40">
        <v>46236</v>
      </c>
      <c r="AB179" s="40" t="s">
        <v>169</v>
      </c>
    </row>
    <row r="180" spans="1:28" ht="28" customHeight="1">
      <c r="A180" s="31" t="str">
        <f>Summary!A29</f>
        <v>RPA-026</v>
      </c>
      <c r="B180" s="31" t="str">
        <f>Summary!B29</f>
        <v>Process 26 — Pending Identification</v>
      </c>
      <c r="C180" s="31">
        <f>Summary!C29</f>
        <v>0</v>
      </c>
      <c r="D180" s="31">
        <f>Summary!D29</f>
        <v>0</v>
      </c>
      <c r="E180" s="41">
        <f>Summary!E29</f>
        <v>0</v>
      </c>
      <c r="F180" s="31">
        <f>Summary!F29</f>
        <v>0</v>
      </c>
      <c r="G180" s="31">
        <f>Summary!G29</f>
        <v>0</v>
      </c>
      <c r="H180" s="31" t="str">
        <f>Summary!H29</f>
        <v>S1</v>
      </c>
      <c r="I180" s="31" t="str">
        <f>Summary!I29</f>
        <v>Not identified</v>
      </c>
      <c r="J180" s="42" t="s">
        <v>18</v>
      </c>
      <c r="K180" s="42">
        <f>IF(B180="","",Summary!M29)</f>
        <v>20</v>
      </c>
      <c r="L180" s="43">
        <f>IF(Summary!$L29="","",Summary!$L29)</f>
        <v>46377</v>
      </c>
      <c r="M180" s="43">
        <f t="shared" ref="M180:M185" si="56">IF(OR(L180="",K180=""),"",WORKDAY.INTL(L180-1,K180,7))</f>
        <v>46404</v>
      </c>
      <c r="N180" s="42" t="s">
        <v>178</v>
      </c>
      <c r="O180" s="44">
        <f t="shared" ref="O180:O185" si="57">IF(B180="","",IF(N180="Completed",100%,IF(OR(N180="In Progress",N180="On Hold"),50%,0%)))</f>
        <v>0</v>
      </c>
      <c r="P180" s="42"/>
      <c r="Q180" s="42" t="s">
        <v>171</v>
      </c>
      <c r="R180" s="47"/>
      <c r="S180" s="47"/>
      <c r="T180" s="43"/>
      <c r="U180" s="43"/>
      <c r="V180" s="42">
        <f t="shared" ca="1" si="42"/>
        <v>0</v>
      </c>
      <c r="W180" s="42" t="str">
        <f t="shared" ca="1" si="43"/>
        <v>Green</v>
      </c>
      <c r="X180" s="42" t="s">
        <v>162</v>
      </c>
      <c r="Y180" s="42"/>
      <c r="Z180" s="42"/>
      <c r="AA180" s="43">
        <v>46236</v>
      </c>
      <c r="AB180" s="42" t="s">
        <v>169</v>
      </c>
    </row>
    <row r="181" spans="1:28" ht="28" customHeight="1">
      <c r="A181" s="31" t="str">
        <f>Summary!A29</f>
        <v>RPA-026</v>
      </c>
      <c r="B181" s="31" t="str">
        <f>Summary!B29</f>
        <v>Process 26 — Pending Identification</v>
      </c>
      <c r="C181" s="31">
        <f>Summary!C29</f>
        <v>0</v>
      </c>
      <c r="D181" s="31">
        <f>Summary!D29</f>
        <v>0</v>
      </c>
      <c r="E181" s="41">
        <f>Summary!E29</f>
        <v>0</v>
      </c>
      <c r="F181" s="31">
        <f>Summary!F29</f>
        <v>0</v>
      </c>
      <c r="G181" s="31">
        <f>Summary!G29</f>
        <v>0</v>
      </c>
      <c r="H181" s="31" t="str">
        <f>Summary!H29</f>
        <v>S1</v>
      </c>
      <c r="I181" s="31" t="str">
        <f>Summary!I29</f>
        <v>Not identified</v>
      </c>
      <c r="J181" s="42" t="s">
        <v>20</v>
      </c>
      <c r="K181" s="42">
        <f>IF(B181="","",Summary!N29)</f>
        <v>1</v>
      </c>
      <c r="L181" s="43">
        <f>IF(M180="","",WORKDAY.INTL(M180,1,7))</f>
        <v>46405</v>
      </c>
      <c r="M181" s="43">
        <f t="shared" si="56"/>
        <v>46405</v>
      </c>
      <c r="N181" s="42" t="s">
        <v>178</v>
      </c>
      <c r="O181" s="44">
        <f t="shared" si="57"/>
        <v>0</v>
      </c>
      <c r="P181" s="42"/>
      <c r="Q181" s="42" t="s">
        <v>171</v>
      </c>
      <c r="R181" s="47"/>
      <c r="S181" s="47"/>
      <c r="T181" s="43"/>
      <c r="U181" s="43"/>
      <c r="V181" s="42">
        <f t="shared" ca="1" si="42"/>
        <v>0</v>
      </c>
      <c r="W181" s="42" t="str">
        <f t="shared" ca="1" si="43"/>
        <v>Green</v>
      </c>
      <c r="X181" s="42" t="s">
        <v>162</v>
      </c>
      <c r="Y181" s="42"/>
      <c r="Z181" s="42"/>
      <c r="AA181" s="43">
        <v>46236</v>
      </c>
      <c r="AB181" s="42" t="s">
        <v>169</v>
      </c>
    </row>
    <row r="182" spans="1:28" ht="28" customHeight="1">
      <c r="A182" s="31" t="str">
        <f>Summary!A29</f>
        <v>RPA-026</v>
      </c>
      <c r="B182" s="31" t="str">
        <f>Summary!B29</f>
        <v>Process 26 — Pending Identification</v>
      </c>
      <c r="C182" s="31">
        <f>Summary!C29</f>
        <v>0</v>
      </c>
      <c r="D182" s="31">
        <f>Summary!D29</f>
        <v>0</v>
      </c>
      <c r="E182" s="41">
        <f>Summary!E29</f>
        <v>0</v>
      </c>
      <c r="F182" s="31">
        <f>Summary!F29</f>
        <v>0</v>
      </c>
      <c r="G182" s="31">
        <f>Summary!G29</f>
        <v>0</v>
      </c>
      <c r="H182" s="31" t="str">
        <f>Summary!H29</f>
        <v>S1</v>
      </c>
      <c r="I182" s="31" t="str">
        <f>Summary!I29</f>
        <v>Not identified</v>
      </c>
      <c r="J182" s="42" t="s">
        <v>22</v>
      </c>
      <c r="K182" s="42">
        <f>IF(B182="","",Summary!O29)</f>
        <v>1</v>
      </c>
      <c r="L182" s="43">
        <f>IF(M181="","",WORKDAY.INTL(M181,1,7))</f>
        <v>46406</v>
      </c>
      <c r="M182" s="43">
        <f t="shared" si="56"/>
        <v>46406</v>
      </c>
      <c r="N182" s="42" t="s">
        <v>178</v>
      </c>
      <c r="O182" s="44">
        <f t="shared" si="57"/>
        <v>0</v>
      </c>
      <c r="P182" s="42"/>
      <c r="Q182" s="42" t="s">
        <v>172</v>
      </c>
      <c r="R182" s="47"/>
      <c r="S182" s="47"/>
      <c r="T182" s="43"/>
      <c r="U182" s="43"/>
      <c r="V182" s="42">
        <f t="shared" ca="1" si="42"/>
        <v>0</v>
      </c>
      <c r="W182" s="42" t="str">
        <f t="shared" ca="1" si="43"/>
        <v>Green</v>
      </c>
      <c r="X182" s="42" t="s">
        <v>162</v>
      </c>
      <c r="Y182" s="42"/>
      <c r="Z182" s="42"/>
      <c r="AA182" s="43">
        <v>46236</v>
      </c>
      <c r="AB182" s="42" t="s">
        <v>169</v>
      </c>
    </row>
    <row r="183" spans="1:28" ht="28" customHeight="1">
      <c r="A183" s="31" t="str">
        <f>Summary!A29</f>
        <v>RPA-026</v>
      </c>
      <c r="B183" s="31" t="str">
        <f>Summary!B29</f>
        <v>Process 26 — Pending Identification</v>
      </c>
      <c r="C183" s="31">
        <f>Summary!C29</f>
        <v>0</v>
      </c>
      <c r="D183" s="31">
        <f>Summary!D29</f>
        <v>0</v>
      </c>
      <c r="E183" s="41">
        <f>Summary!E29</f>
        <v>0</v>
      </c>
      <c r="F183" s="31">
        <f>Summary!F29</f>
        <v>0</v>
      </c>
      <c r="G183" s="31">
        <f>Summary!G29</f>
        <v>0</v>
      </c>
      <c r="H183" s="31" t="str">
        <f>Summary!H29</f>
        <v>S1</v>
      </c>
      <c r="I183" s="31" t="str">
        <f>Summary!I29</f>
        <v>Not identified</v>
      </c>
      <c r="J183" s="42" t="s">
        <v>24</v>
      </c>
      <c r="K183" s="42">
        <f>IF(B183="","",Summary!P29)</f>
        <v>10</v>
      </c>
      <c r="L183" s="43">
        <f>IF(M182="","",WORKDAY.INTL(M182,1,7))</f>
        <v>46407</v>
      </c>
      <c r="M183" s="43">
        <f t="shared" si="56"/>
        <v>46420</v>
      </c>
      <c r="N183" s="42" t="s">
        <v>178</v>
      </c>
      <c r="O183" s="44">
        <f t="shared" si="57"/>
        <v>0</v>
      </c>
      <c r="P183" s="42"/>
      <c r="Q183" s="42" t="s">
        <v>175</v>
      </c>
      <c r="R183" s="47"/>
      <c r="S183" s="47"/>
      <c r="T183" s="43"/>
      <c r="U183" s="43"/>
      <c r="V183" s="42">
        <f t="shared" ca="1" si="42"/>
        <v>0</v>
      </c>
      <c r="W183" s="42" t="str">
        <f t="shared" ca="1" si="43"/>
        <v>Green</v>
      </c>
      <c r="X183" s="42" t="s">
        <v>162</v>
      </c>
      <c r="Y183" s="42"/>
      <c r="Z183" s="42"/>
      <c r="AA183" s="43">
        <v>46236</v>
      </c>
      <c r="AB183" s="42" t="s">
        <v>169</v>
      </c>
    </row>
    <row r="184" spans="1:28" ht="28" customHeight="1">
      <c r="A184" s="31" t="str">
        <f>Summary!A29</f>
        <v>RPA-026</v>
      </c>
      <c r="B184" s="31" t="str">
        <f>Summary!B29</f>
        <v>Process 26 — Pending Identification</v>
      </c>
      <c r="C184" s="31">
        <f>Summary!C29</f>
        <v>0</v>
      </c>
      <c r="D184" s="31">
        <f>Summary!D29</f>
        <v>0</v>
      </c>
      <c r="E184" s="41">
        <f>Summary!E29</f>
        <v>0</v>
      </c>
      <c r="F184" s="31">
        <f>Summary!F29</f>
        <v>0</v>
      </c>
      <c r="G184" s="31">
        <f>Summary!G29</f>
        <v>0</v>
      </c>
      <c r="H184" s="31" t="str">
        <f>Summary!H29</f>
        <v>S1</v>
      </c>
      <c r="I184" s="31" t="str">
        <f>Summary!I29</f>
        <v>Not identified</v>
      </c>
      <c r="J184" s="42" t="s">
        <v>26</v>
      </c>
      <c r="K184" s="42">
        <f>IF(B184="","",Summary!Q29)</f>
        <v>1</v>
      </c>
      <c r="L184" s="43">
        <f>IF(M183="","",WORKDAY.INTL(M183,1,7))</f>
        <v>46421</v>
      </c>
      <c r="M184" s="43">
        <f t="shared" si="56"/>
        <v>46421</v>
      </c>
      <c r="N184" s="42" t="s">
        <v>178</v>
      </c>
      <c r="O184" s="44">
        <f t="shared" si="57"/>
        <v>0</v>
      </c>
      <c r="P184" s="42"/>
      <c r="Q184" s="42" t="s">
        <v>180</v>
      </c>
      <c r="R184" s="47"/>
      <c r="S184" s="47"/>
      <c r="T184" s="43"/>
      <c r="U184" s="43"/>
      <c r="V184" s="42">
        <f t="shared" ca="1" si="42"/>
        <v>0</v>
      </c>
      <c r="W184" s="42" t="str">
        <f t="shared" ca="1" si="43"/>
        <v>Green</v>
      </c>
      <c r="X184" s="42" t="s">
        <v>162</v>
      </c>
      <c r="Y184" s="42"/>
      <c r="Z184" s="42"/>
      <c r="AA184" s="43">
        <v>46236</v>
      </c>
      <c r="AB184" s="42" t="s">
        <v>169</v>
      </c>
    </row>
    <row r="185" spans="1:28" ht="28" customHeight="1">
      <c r="A185" s="31" t="str">
        <f>Summary!A29</f>
        <v>RPA-026</v>
      </c>
      <c r="B185" s="31" t="str">
        <f>Summary!B29</f>
        <v>Process 26 — Pending Identification</v>
      </c>
      <c r="C185" s="31">
        <f>Summary!C29</f>
        <v>0</v>
      </c>
      <c r="D185" s="31">
        <f>Summary!D29</f>
        <v>0</v>
      </c>
      <c r="E185" s="41">
        <f>Summary!E29</f>
        <v>0</v>
      </c>
      <c r="F185" s="31">
        <f>Summary!F29</f>
        <v>0</v>
      </c>
      <c r="G185" s="31">
        <f>Summary!G29</f>
        <v>0</v>
      </c>
      <c r="H185" s="31" t="str">
        <f>Summary!H29</f>
        <v>S1</v>
      </c>
      <c r="I185" s="31" t="str">
        <f>Summary!I29</f>
        <v>Not identified</v>
      </c>
      <c r="J185" s="42" t="s">
        <v>27</v>
      </c>
      <c r="K185" s="42">
        <f>IF(B185="","",Summary!R29)</f>
        <v>1</v>
      </c>
      <c r="L185" s="43">
        <f>IF(M184="","",WORKDAY.INTL(M184,1,7))</f>
        <v>46422</v>
      </c>
      <c r="M185" s="43">
        <f t="shared" si="56"/>
        <v>46422</v>
      </c>
      <c r="N185" s="42" t="s">
        <v>178</v>
      </c>
      <c r="O185" s="44">
        <f t="shared" si="57"/>
        <v>0</v>
      </c>
      <c r="P185" s="42"/>
      <c r="Q185" s="42" t="s">
        <v>175</v>
      </c>
      <c r="R185" s="47"/>
      <c r="S185" s="47"/>
      <c r="T185" s="43"/>
      <c r="U185" s="43"/>
      <c r="V185" s="42">
        <f t="shared" ca="1" si="42"/>
        <v>0</v>
      </c>
      <c r="W185" s="42" t="str">
        <f t="shared" ca="1" si="43"/>
        <v>Green</v>
      </c>
      <c r="X185" s="42" t="s">
        <v>162</v>
      </c>
      <c r="Y185" s="42"/>
      <c r="Z185" s="42"/>
      <c r="AA185" s="43">
        <v>46236</v>
      </c>
      <c r="AB185" s="42" t="s">
        <v>169</v>
      </c>
    </row>
    <row r="186" spans="1:28" ht="28" customHeight="1">
      <c r="A186" s="30" t="str">
        <f>Summary!A30</f>
        <v>RPA-027</v>
      </c>
      <c r="B186" s="30" t="str">
        <f>Summary!B30</f>
        <v>Process 27 — Pending Identification</v>
      </c>
      <c r="C186" s="30">
        <f>Summary!C30</f>
        <v>0</v>
      </c>
      <c r="D186" s="30">
        <f>Summary!D30</f>
        <v>0</v>
      </c>
      <c r="E186" s="38">
        <f>Summary!E30</f>
        <v>0</v>
      </c>
      <c r="F186" s="30">
        <f>Summary!F30</f>
        <v>0</v>
      </c>
      <c r="G186" s="30">
        <f>Summary!G30</f>
        <v>0</v>
      </c>
      <c r="H186" s="30" t="str">
        <f>Summary!H30</f>
        <v>S4</v>
      </c>
      <c r="I186" s="30" t="str">
        <f>Summary!I30</f>
        <v>Not identified</v>
      </c>
      <c r="J186" s="30" t="s">
        <v>161</v>
      </c>
      <c r="K186" s="30">
        <f>IF(B186="","",SUM(K187:K192))</f>
        <v>34</v>
      </c>
      <c r="L186" s="39">
        <f>IF(B186="","",L187)</f>
        <v>46407</v>
      </c>
      <c r="M186" s="39">
        <f>IF(B186="","",M192)</f>
        <v>46454</v>
      </c>
      <c r="N186" s="30" t="str">
        <f>IF(B186="","",IF(O186=100%,"Completed",IF(COUNTIF(N187:N192,"On Hold")&gt;0,"On Hold",IF(O186&gt;0%,"In Progress","Not Started"))))</f>
        <v>Not Started</v>
      </c>
      <c r="O186" s="44">
        <f>IF(B186="","",AVERAGE(O187:O192))</f>
        <v>0</v>
      </c>
      <c r="P186" s="40"/>
      <c r="Q186" s="40"/>
      <c r="R186" s="46"/>
      <c r="S186" s="46"/>
      <c r="T186" s="40" t="str">
        <f>IF(COUNT(T187:T192)=0,"",MIN(T187:T192))</f>
        <v/>
      </c>
      <c r="U186" s="40" t="str">
        <f>IF(COUNT(U187:U192)=0,"",MAX(U187:U192))</f>
        <v/>
      </c>
      <c r="V186" s="40">
        <f t="shared" ca="1" si="42"/>
        <v>0</v>
      </c>
      <c r="W186" s="40" t="str">
        <f t="shared" ca="1" si="43"/>
        <v>Green</v>
      </c>
      <c r="X186" s="40" t="s">
        <v>162</v>
      </c>
      <c r="Y186" s="40"/>
      <c r="Z186" s="40"/>
      <c r="AA186" s="40">
        <v>46236</v>
      </c>
      <c r="AB186" s="40" t="s">
        <v>169</v>
      </c>
    </row>
    <row r="187" spans="1:28" ht="28" customHeight="1">
      <c r="A187" s="31" t="str">
        <f>Summary!A30</f>
        <v>RPA-027</v>
      </c>
      <c r="B187" s="31" t="str">
        <f>Summary!B30</f>
        <v>Process 27 — Pending Identification</v>
      </c>
      <c r="C187" s="31">
        <f>Summary!C30</f>
        <v>0</v>
      </c>
      <c r="D187" s="31">
        <f>Summary!D30</f>
        <v>0</v>
      </c>
      <c r="E187" s="41">
        <f>Summary!E30</f>
        <v>0</v>
      </c>
      <c r="F187" s="31">
        <f>Summary!F30</f>
        <v>0</v>
      </c>
      <c r="G187" s="31">
        <f>Summary!G30</f>
        <v>0</v>
      </c>
      <c r="H187" s="31" t="str">
        <f>Summary!H30</f>
        <v>S4</v>
      </c>
      <c r="I187" s="31" t="str">
        <f>Summary!I30</f>
        <v>Not identified</v>
      </c>
      <c r="J187" s="42" t="s">
        <v>18</v>
      </c>
      <c r="K187" s="42">
        <f>IF(B187="","",Summary!M30)</f>
        <v>20</v>
      </c>
      <c r="L187" s="43">
        <f>IF(Summary!$L30="","",Summary!$L30)</f>
        <v>46407</v>
      </c>
      <c r="M187" s="43">
        <f t="shared" ref="M187:M192" si="58">IF(OR(L187="",K187=""),"",WORKDAY.INTL(L187-1,K187,7))</f>
        <v>46434</v>
      </c>
      <c r="N187" s="42" t="s">
        <v>178</v>
      </c>
      <c r="O187" s="44">
        <f t="shared" ref="O187:O192" si="59">IF(B187="","",IF(N187="Completed",100%,IF(OR(N187="In Progress",N187="On Hold"),50%,0%)))</f>
        <v>0</v>
      </c>
      <c r="P187" s="42"/>
      <c r="Q187" s="42" t="s">
        <v>171</v>
      </c>
      <c r="R187" s="47"/>
      <c r="S187" s="47"/>
      <c r="T187" s="43"/>
      <c r="U187" s="43"/>
      <c r="V187" s="42">
        <f t="shared" ca="1" si="42"/>
        <v>0</v>
      </c>
      <c r="W187" s="42" t="str">
        <f t="shared" ca="1" si="43"/>
        <v>Green</v>
      </c>
      <c r="X187" s="42" t="s">
        <v>162</v>
      </c>
      <c r="Y187" s="42"/>
      <c r="Z187" s="42"/>
      <c r="AA187" s="43">
        <v>46236</v>
      </c>
      <c r="AB187" s="42" t="s">
        <v>169</v>
      </c>
    </row>
    <row r="188" spans="1:28" ht="28" customHeight="1">
      <c r="A188" s="31" t="str">
        <f>Summary!A30</f>
        <v>RPA-027</v>
      </c>
      <c r="B188" s="31" t="str">
        <f>Summary!B30</f>
        <v>Process 27 — Pending Identification</v>
      </c>
      <c r="C188" s="31">
        <f>Summary!C30</f>
        <v>0</v>
      </c>
      <c r="D188" s="31">
        <f>Summary!D30</f>
        <v>0</v>
      </c>
      <c r="E188" s="41">
        <f>Summary!E30</f>
        <v>0</v>
      </c>
      <c r="F188" s="31">
        <f>Summary!F30</f>
        <v>0</v>
      </c>
      <c r="G188" s="31">
        <f>Summary!G30</f>
        <v>0</v>
      </c>
      <c r="H188" s="31" t="str">
        <f>Summary!H30</f>
        <v>S4</v>
      </c>
      <c r="I188" s="31" t="str">
        <f>Summary!I30</f>
        <v>Not identified</v>
      </c>
      <c r="J188" s="42" t="s">
        <v>20</v>
      </c>
      <c r="K188" s="42">
        <f>IF(B188="","",Summary!N30)</f>
        <v>1</v>
      </c>
      <c r="L188" s="43">
        <f>IF(M187="","",WORKDAY.INTL(M187,1,7))</f>
        <v>46435</v>
      </c>
      <c r="M188" s="43">
        <f t="shared" si="58"/>
        <v>46435</v>
      </c>
      <c r="N188" s="42" t="s">
        <v>178</v>
      </c>
      <c r="O188" s="44">
        <f t="shared" si="59"/>
        <v>0</v>
      </c>
      <c r="P188" s="42"/>
      <c r="Q188" s="42" t="s">
        <v>171</v>
      </c>
      <c r="R188" s="47"/>
      <c r="S188" s="47"/>
      <c r="T188" s="43"/>
      <c r="U188" s="43"/>
      <c r="V188" s="42">
        <f t="shared" ca="1" si="42"/>
        <v>0</v>
      </c>
      <c r="W188" s="42" t="str">
        <f t="shared" ca="1" si="43"/>
        <v>Green</v>
      </c>
      <c r="X188" s="42" t="s">
        <v>162</v>
      </c>
      <c r="Y188" s="42"/>
      <c r="Z188" s="42"/>
      <c r="AA188" s="43">
        <v>46236</v>
      </c>
      <c r="AB188" s="42" t="s">
        <v>169</v>
      </c>
    </row>
    <row r="189" spans="1:28" ht="28" customHeight="1">
      <c r="A189" s="31" t="str">
        <f>Summary!A30</f>
        <v>RPA-027</v>
      </c>
      <c r="B189" s="31" t="str">
        <f>Summary!B30</f>
        <v>Process 27 — Pending Identification</v>
      </c>
      <c r="C189" s="31">
        <f>Summary!C30</f>
        <v>0</v>
      </c>
      <c r="D189" s="31">
        <f>Summary!D30</f>
        <v>0</v>
      </c>
      <c r="E189" s="41">
        <f>Summary!E30</f>
        <v>0</v>
      </c>
      <c r="F189" s="31">
        <f>Summary!F30</f>
        <v>0</v>
      </c>
      <c r="G189" s="31">
        <f>Summary!G30</f>
        <v>0</v>
      </c>
      <c r="H189" s="31" t="str">
        <f>Summary!H30</f>
        <v>S4</v>
      </c>
      <c r="I189" s="31" t="str">
        <f>Summary!I30</f>
        <v>Not identified</v>
      </c>
      <c r="J189" s="42" t="s">
        <v>22</v>
      </c>
      <c r="K189" s="42">
        <f>IF(B189="","",Summary!O30)</f>
        <v>1</v>
      </c>
      <c r="L189" s="43">
        <f>IF(M188="","",WORKDAY.INTL(M188,1,7))</f>
        <v>46436</v>
      </c>
      <c r="M189" s="43">
        <f t="shared" si="58"/>
        <v>46436</v>
      </c>
      <c r="N189" s="42" t="s">
        <v>178</v>
      </c>
      <c r="O189" s="44">
        <f t="shared" si="59"/>
        <v>0</v>
      </c>
      <c r="P189" s="42"/>
      <c r="Q189" s="42" t="s">
        <v>172</v>
      </c>
      <c r="R189" s="47"/>
      <c r="S189" s="47"/>
      <c r="T189" s="43"/>
      <c r="U189" s="43"/>
      <c r="V189" s="42">
        <f t="shared" ca="1" si="42"/>
        <v>0</v>
      </c>
      <c r="W189" s="42" t="str">
        <f t="shared" ca="1" si="43"/>
        <v>Green</v>
      </c>
      <c r="X189" s="42" t="s">
        <v>162</v>
      </c>
      <c r="Y189" s="42"/>
      <c r="Z189" s="42"/>
      <c r="AA189" s="43">
        <v>46236</v>
      </c>
      <c r="AB189" s="42" t="s">
        <v>169</v>
      </c>
    </row>
    <row r="190" spans="1:28" ht="28" customHeight="1">
      <c r="A190" s="31" t="str">
        <f>Summary!A30</f>
        <v>RPA-027</v>
      </c>
      <c r="B190" s="31" t="str">
        <f>Summary!B30</f>
        <v>Process 27 — Pending Identification</v>
      </c>
      <c r="C190" s="31">
        <f>Summary!C30</f>
        <v>0</v>
      </c>
      <c r="D190" s="31">
        <f>Summary!D30</f>
        <v>0</v>
      </c>
      <c r="E190" s="41">
        <f>Summary!E30</f>
        <v>0</v>
      </c>
      <c r="F190" s="31">
        <f>Summary!F30</f>
        <v>0</v>
      </c>
      <c r="G190" s="31">
        <f>Summary!G30</f>
        <v>0</v>
      </c>
      <c r="H190" s="31" t="str">
        <f>Summary!H30</f>
        <v>S4</v>
      </c>
      <c r="I190" s="31" t="str">
        <f>Summary!I30</f>
        <v>Not identified</v>
      </c>
      <c r="J190" s="42" t="s">
        <v>24</v>
      </c>
      <c r="K190" s="42">
        <f>IF(B190="","",Summary!P30)</f>
        <v>10</v>
      </c>
      <c r="L190" s="43">
        <f>IF(M189="","",WORKDAY.INTL(M189,1,7))</f>
        <v>46439</v>
      </c>
      <c r="M190" s="43">
        <f t="shared" si="58"/>
        <v>46450</v>
      </c>
      <c r="N190" s="42" t="s">
        <v>178</v>
      </c>
      <c r="O190" s="44">
        <f t="shared" si="59"/>
        <v>0</v>
      </c>
      <c r="P190" s="42"/>
      <c r="Q190" s="42" t="s">
        <v>175</v>
      </c>
      <c r="R190" s="47"/>
      <c r="S190" s="47"/>
      <c r="T190" s="43"/>
      <c r="U190" s="43"/>
      <c r="V190" s="42">
        <f t="shared" ca="1" si="42"/>
        <v>0</v>
      </c>
      <c r="W190" s="42" t="str">
        <f t="shared" ca="1" si="43"/>
        <v>Green</v>
      </c>
      <c r="X190" s="42" t="s">
        <v>162</v>
      </c>
      <c r="Y190" s="42"/>
      <c r="Z190" s="42"/>
      <c r="AA190" s="43">
        <v>46236</v>
      </c>
      <c r="AB190" s="42" t="s">
        <v>169</v>
      </c>
    </row>
    <row r="191" spans="1:28" ht="28" customHeight="1">
      <c r="A191" s="31" t="str">
        <f>Summary!A30</f>
        <v>RPA-027</v>
      </c>
      <c r="B191" s="31" t="str">
        <f>Summary!B30</f>
        <v>Process 27 — Pending Identification</v>
      </c>
      <c r="C191" s="31">
        <f>Summary!C30</f>
        <v>0</v>
      </c>
      <c r="D191" s="31">
        <f>Summary!D30</f>
        <v>0</v>
      </c>
      <c r="E191" s="41">
        <f>Summary!E30</f>
        <v>0</v>
      </c>
      <c r="F191" s="31">
        <f>Summary!F30</f>
        <v>0</v>
      </c>
      <c r="G191" s="31">
        <f>Summary!G30</f>
        <v>0</v>
      </c>
      <c r="H191" s="31" t="str">
        <f>Summary!H30</f>
        <v>S4</v>
      </c>
      <c r="I191" s="31" t="str">
        <f>Summary!I30</f>
        <v>Not identified</v>
      </c>
      <c r="J191" s="42" t="s">
        <v>26</v>
      </c>
      <c r="K191" s="42">
        <f>IF(B191="","",Summary!Q30)</f>
        <v>1</v>
      </c>
      <c r="L191" s="43">
        <f>IF(M190="","",WORKDAY.INTL(M190,1,7))</f>
        <v>46453</v>
      </c>
      <c r="M191" s="43">
        <f t="shared" si="58"/>
        <v>46453</v>
      </c>
      <c r="N191" s="42" t="s">
        <v>178</v>
      </c>
      <c r="O191" s="44">
        <f t="shared" si="59"/>
        <v>0</v>
      </c>
      <c r="P191" s="42"/>
      <c r="Q191" s="42" t="s">
        <v>180</v>
      </c>
      <c r="R191" s="47"/>
      <c r="S191" s="47"/>
      <c r="T191" s="43"/>
      <c r="U191" s="43"/>
      <c r="V191" s="42">
        <f t="shared" ca="1" si="42"/>
        <v>0</v>
      </c>
      <c r="W191" s="42" t="str">
        <f t="shared" ca="1" si="43"/>
        <v>Green</v>
      </c>
      <c r="X191" s="42" t="s">
        <v>162</v>
      </c>
      <c r="Y191" s="42"/>
      <c r="Z191" s="42"/>
      <c r="AA191" s="43">
        <v>46236</v>
      </c>
      <c r="AB191" s="42" t="s">
        <v>169</v>
      </c>
    </row>
    <row r="192" spans="1:28" ht="28" customHeight="1">
      <c r="A192" s="31" t="str">
        <f>Summary!A30</f>
        <v>RPA-027</v>
      </c>
      <c r="B192" s="31" t="str">
        <f>Summary!B30</f>
        <v>Process 27 — Pending Identification</v>
      </c>
      <c r="C192" s="31">
        <f>Summary!C30</f>
        <v>0</v>
      </c>
      <c r="D192" s="31">
        <f>Summary!D30</f>
        <v>0</v>
      </c>
      <c r="E192" s="41">
        <f>Summary!E30</f>
        <v>0</v>
      </c>
      <c r="F192" s="31">
        <f>Summary!F30</f>
        <v>0</v>
      </c>
      <c r="G192" s="31">
        <f>Summary!G30</f>
        <v>0</v>
      </c>
      <c r="H192" s="31" t="str">
        <f>Summary!H30</f>
        <v>S4</v>
      </c>
      <c r="I192" s="31" t="str">
        <f>Summary!I30</f>
        <v>Not identified</v>
      </c>
      <c r="J192" s="42" t="s">
        <v>27</v>
      </c>
      <c r="K192" s="42">
        <f>IF(B192="","",Summary!R30)</f>
        <v>1</v>
      </c>
      <c r="L192" s="43">
        <f>IF(M191="","",WORKDAY.INTL(M191,1,7))</f>
        <v>46454</v>
      </c>
      <c r="M192" s="43">
        <f t="shared" si="58"/>
        <v>46454</v>
      </c>
      <c r="N192" s="42" t="s">
        <v>178</v>
      </c>
      <c r="O192" s="44">
        <f t="shared" si="59"/>
        <v>0</v>
      </c>
      <c r="P192" s="42"/>
      <c r="Q192" s="42" t="s">
        <v>175</v>
      </c>
      <c r="R192" s="47"/>
      <c r="S192" s="47"/>
      <c r="T192" s="43"/>
      <c r="U192" s="43"/>
      <c r="V192" s="42">
        <f t="shared" ca="1" si="42"/>
        <v>0</v>
      </c>
      <c r="W192" s="42" t="str">
        <f t="shared" ca="1" si="43"/>
        <v>Green</v>
      </c>
      <c r="X192" s="42" t="s">
        <v>162</v>
      </c>
      <c r="Y192" s="42"/>
      <c r="Z192" s="42"/>
      <c r="AA192" s="43">
        <v>46236</v>
      </c>
      <c r="AB192" s="42" t="s">
        <v>169</v>
      </c>
    </row>
    <row r="193" spans="1:28" ht="28" customHeight="1">
      <c r="A193" s="30" t="str">
        <f>Summary!A31</f>
        <v>RPA-028</v>
      </c>
      <c r="B193" s="30" t="str">
        <f>Summary!B31</f>
        <v>Process 28 — Pending Identification</v>
      </c>
      <c r="C193" s="30">
        <f>Summary!C31</f>
        <v>0</v>
      </c>
      <c r="D193" s="30">
        <f>Summary!D31</f>
        <v>0</v>
      </c>
      <c r="E193" s="38">
        <f>Summary!E31</f>
        <v>0</v>
      </c>
      <c r="F193" s="30">
        <f>Summary!F31</f>
        <v>0</v>
      </c>
      <c r="G193" s="30">
        <f>Summary!G31</f>
        <v>0</v>
      </c>
      <c r="H193" s="30" t="str">
        <f>Summary!H31</f>
        <v>S2</v>
      </c>
      <c r="I193" s="30" t="str">
        <f>Summary!I31</f>
        <v>Not identified</v>
      </c>
      <c r="J193" s="30" t="s">
        <v>161</v>
      </c>
      <c r="K193" s="30">
        <f>IF(B193="","",SUM(K194:K199))</f>
        <v>34</v>
      </c>
      <c r="L193" s="39">
        <f>IF(B193="","",L194)</f>
        <v>46407</v>
      </c>
      <c r="M193" s="39">
        <f>IF(B193="","",M199)</f>
        <v>46454</v>
      </c>
      <c r="N193" s="30" t="str">
        <f>IF(B193="","",IF(O193=100%,"Completed",IF(COUNTIF(N194:N199,"On Hold")&gt;0,"On Hold",IF(O193&gt;0%,"In Progress","Not Started"))))</f>
        <v>Not Started</v>
      </c>
      <c r="O193" s="44">
        <f>IF(B193="","",AVERAGE(O194:O199))</f>
        <v>0</v>
      </c>
      <c r="P193" s="40"/>
      <c r="Q193" s="40"/>
      <c r="R193" s="46"/>
      <c r="S193" s="46"/>
      <c r="T193" s="40" t="str">
        <f>IF(COUNT(T194:T199)=0,"",MIN(T194:T199))</f>
        <v/>
      </c>
      <c r="U193" s="40" t="str">
        <f>IF(COUNT(U194:U199)=0,"",MAX(U194:U199))</f>
        <v/>
      </c>
      <c r="V193" s="40">
        <f t="shared" ca="1" si="42"/>
        <v>0</v>
      </c>
      <c r="W193" s="40" t="str">
        <f t="shared" ca="1" si="43"/>
        <v>Green</v>
      </c>
      <c r="X193" s="40" t="s">
        <v>162</v>
      </c>
      <c r="Y193" s="40"/>
      <c r="Z193" s="40"/>
      <c r="AA193" s="40">
        <v>46236</v>
      </c>
      <c r="AB193" s="40" t="s">
        <v>169</v>
      </c>
    </row>
    <row r="194" spans="1:28" ht="28" customHeight="1">
      <c r="A194" s="31" t="str">
        <f>Summary!A31</f>
        <v>RPA-028</v>
      </c>
      <c r="B194" s="31" t="str">
        <f>Summary!B31</f>
        <v>Process 28 — Pending Identification</v>
      </c>
      <c r="C194" s="31">
        <f>Summary!C31</f>
        <v>0</v>
      </c>
      <c r="D194" s="31">
        <f>Summary!D31</f>
        <v>0</v>
      </c>
      <c r="E194" s="41">
        <f>Summary!E31</f>
        <v>0</v>
      </c>
      <c r="F194" s="31">
        <f>Summary!F31</f>
        <v>0</v>
      </c>
      <c r="G194" s="31">
        <f>Summary!G31</f>
        <v>0</v>
      </c>
      <c r="H194" s="31" t="str">
        <f>Summary!H31</f>
        <v>S2</v>
      </c>
      <c r="I194" s="31" t="str">
        <f>Summary!I31</f>
        <v>Not identified</v>
      </c>
      <c r="J194" s="42" t="s">
        <v>18</v>
      </c>
      <c r="K194" s="42">
        <f>IF(B194="","",Summary!M31)</f>
        <v>20</v>
      </c>
      <c r="L194" s="43">
        <f>IF(Summary!$L31="","",Summary!$L31)</f>
        <v>46407</v>
      </c>
      <c r="M194" s="43">
        <f t="shared" ref="M194:M199" si="60">IF(OR(L194="",K194=""),"",WORKDAY.INTL(L194-1,K194,7))</f>
        <v>46434</v>
      </c>
      <c r="N194" s="42" t="s">
        <v>178</v>
      </c>
      <c r="O194" s="44">
        <f t="shared" ref="O194:O199" si="61">IF(B194="","",IF(N194="Completed",100%,IF(OR(N194="In Progress",N194="On Hold"),50%,0%)))</f>
        <v>0</v>
      </c>
      <c r="P194" s="42"/>
      <c r="Q194" s="42" t="s">
        <v>171</v>
      </c>
      <c r="R194" s="47"/>
      <c r="S194" s="47"/>
      <c r="T194" s="43"/>
      <c r="U194" s="43"/>
      <c r="V194" s="42">
        <f t="shared" ca="1" si="42"/>
        <v>0</v>
      </c>
      <c r="W194" s="42" t="str">
        <f t="shared" ca="1" si="43"/>
        <v>Green</v>
      </c>
      <c r="X194" s="42" t="s">
        <v>162</v>
      </c>
      <c r="Y194" s="42"/>
      <c r="Z194" s="42"/>
      <c r="AA194" s="43">
        <v>46236</v>
      </c>
      <c r="AB194" s="42" t="s">
        <v>169</v>
      </c>
    </row>
    <row r="195" spans="1:28" ht="28" customHeight="1">
      <c r="A195" s="31" t="str">
        <f>Summary!A31</f>
        <v>RPA-028</v>
      </c>
      <c r="B195" s="31" t="str">
        <f>Summary!B31</f>
        <v>Process 28 — Pending Identification</v>
      </c>
      <c r="C195" s="31">
        <f>Summary!C31</f>
        <v>0</v>
      </c>
      <c r="D195" s="31">
        <f>Summary!D31</f>
        <v>0</v>
      </c>
      <c r="E195" s="41">
        <f>Summary!E31</f>
        <v>0</v>
      </c>
      <c r="F195" s="31">
        <f>Summary!F31</f>
        <v>0</v>
      </c>
      <c r="G195" s="31">
        <f>Summary!G31</f>
        <v>0</v>
      </c>
      <c r="H195" s="31" t="str">
        <f>Summary!H31</f>
        <v>S2</v>
      </c>
      <c r="I195" s="31" t="str">
        <f>Summary!I31</f>
        <v>Not identified</v>
      </c>
      <c r="J195" s="42" t="s">
        <v>20</v>
      </c>
      <c r="K195" s="42">
        <f>IF(B195="","",Summary!N31)</f>
        <v>1</v>
      </c>
      <c r="L195" s="43">
        <f>IF(M194="","",WORKDAY.INTL(M194,1,7))</f>
        <v>46435</v>
      </c>
      <c r="M195" s="43">
        <f t="shared" si="60"/>
        <v>46435</v>
      </c>
      <c r="N195" s="42" t="s">
        <v>178</v>
      </c>
      <c r="O195" s="44">
        <f t="shared" si="61"/>
        <v>0</v>
      </c>
      <c r="P195" s="42"/>
      <c r="Q195" s="42" t="s">
        <v>171</v>
      </c>
      <c r="R195" s="47"/>
      <c r="S195" s="47"/>
      <c r="T195" s="43"/>
      <c r="U195" s="43"/>
      <c r="V195" s="42">
        <f t="shared" ca="1" si="42"/>
        <v>0</v>
      </c>
      <c r="W195" s="42" t="str">
        <f t="shared" ca="1" si="43"/>
        <v>Green</v>
      </c>
      <c r="X195" s="42" t="s">
        <v>162</v>
      </c>
      <c r="Y195" s="42"/>
      <c r="Z195" s="42"/>
      <c r="AA195" s="43">
        <v>46236</v>
      </c>
      <c r="AB195" s="42" t="s">
        <v>169</v>
      </c>
    </row>
    <row r="196" spans="1:28" ht="28" customHeight="1">
      <c r="A196" s="31" t="str">
        <f>Summary!A31</f>
        <v>RPA-028</v>
      </c>
      <c r="B196" s="31" t="str">
        <f>Summary!B31</f>
        <v>Process 28 — Pending Identification</v>
      </c>
      <c r="C196" s="31">
        <f>Summary!C31</f>
        <v>0</v>
      </c>
      <c r="D196" s="31">
        <f>Summary!D31</f>
        <v>0</v>
      </c>
      <c r="E196" s="41">
        <f>Summary!E31</f>
        <v>0</v>
      </c>
      <c r="F196" s="31">
        <f>Summary!F31</f>
        <v>0</v>
      </c>
      <c r="G196" s="31">
        <f>Summary!G31</f>
        <v>0</v>
      </c>
      <c r="H196" s="31" t="str">
        <f>Summary!H31</f>
        <v>S2</v>
      </c>
      <c r="I196" s="31" t="str">
        <f>Summary!I31</f>
        <v>Not identified</v>
      </c>
      <c r="J196" s="42" t="s">
        <v>22</v>
      </c>
      <c r="K196" s="42">
        <f>IF(B196="","",Summary!O31)</f>
        <v>1</v>
      </c>
      <c r="L196" s="43">
        <f>IF(M195="","",WORKDAY.INTL(M195,1,7))</f>
        <v>46436</v>
      </c>
      <c r="M196" s="43">
        <f t="shared" si="60"/>
        <v>46436</v>
      </c>
      <c r="N196" s="42" t="s">
        <v>178</v>
      </c>
      <c r="O196" s="44">
        <f t="shared" si="61"/>
        <v>0</v>
      </c>
      <c r="P196" s="42"/>
      <c r="Q196" s="42" t="s">
        <v>172</v>
      </c>
      <c r="R196" s="47"/>
      <c r="S196" s="47"/>
      <c r="T196" s="43"/>
      <c r="U196" s="43"/>
      <c r="V196" s="42">
        <f t="shared" ref="V196:V213" ca="1" si="62">IF(B196="","",IF(N196="Cancelled","",IF(U196&lt;&gt;"",U196-M196,IF(AND(M196&lt;&gt;"",N196&lt;&gt;"Completed",TODAY()&gt;M196),TODAY()-M196,0))))</f>
        <v>0</v>
      </c>
      <c r="W196" s="42" t="str">
        <f t="shared" ref="W196:W213" ca="1" si="63">IF(B196="","",IF(N196="Cancelled","Gray",IF(N196="On Hold","Red",IF(N196="Completed","Green",IF(V196&gt;5,"Red",IF(V196&gt;0,"Amber","Green"))))))</f>
        <v>Green</v>
      </c>
      <c r="X196" s="42" t="s">
        <v>162</v>
      </c>
      <c r="Y196" s="42"/>
      <c r="Z196" s="42"/>
      <c r="AA196" s="43">
        <v>46236</v>
      </c>
      <c r="AB196" s="42" t="s">
        <v>169</v>
      </c>
    </row>
    <row r="197" spans="1:28" ht="28" customHeight="1">
      <c r="A197" s="31" t="str">
        <f>Summary!A31</f>
        <v>RPA-028</v>
      </c>
      <c r="B197" s="31" t="str">
        <f>Summary!B31</f>
        <v>Process 28 — Pending Identification</v>
      </c>
      <c r="C197" s="31">
        <f>Summary!C31</f>
        <v>0</v>
      </c>
      <c r="D197" s="31">
        <f>Summary!D31</f>
        <v>0</v>
      </c>
      <c r="E197" s="41">
        <f>Summary!E31</f>
        <v>0</v>
      </c>
      <c r="F197" s="31">
        <f>Summary!F31</f>
        <v>0</v>
      </c>
      <c r="G197" s="31">
        <f>Summary!G31</f>
        <v>0</v>
      </c>
      <c r="H197" s="31" t="str">
        <f>Summary!H31</f>
        <v>S2</v>
      </c>
      <c r="I197" s="31" t="str">
        <f>Summary!I31</f>
        <v>Not identified</v>
      </c>
      <c r="J197" s="42" t="s">
        <v>24</v>
      </c>
      <c r="K197" s="42">
        <f>IF(B197="","",Summary!P31)</f>
        <v>10</v>
      </c>
      <c r="L197" s="43">
        <f>IF(M196="","",WORKDAY.INTL(M196,1,7))</f>
        <v>46439</v>
      </c>
      <c r="M197" s="43">
        <f t="shared" si="60"/>
        <v>46450</v>
      </c>
      <c r="N197" s="42" t="s">
        <v>178</v>
      </c>
      <c r="O197" s="44">
        <f t="shared" si="61"/>
        <v>0</v>
      </c>
      <c r="P197" s="42"/>
      <c r="Q197" s="42" t="s">
        <v>175</v>
      </c>
      <c r="R197" s="47"/>
      <c r="S197" s="47"/>
      <c r="T197" s="43"/>
      <c r="U197" s="43"/>
      <c r="V197" s="42">
        <f t="shared" ca="1" si="62"/>
        <v>0</v>
      </c>
      <c r="W197" s="42" t="str">
        <f t="shared" ca="1" si="63"/>
        <v>Green</v>
      </c>
      <c r="X197" s="42" t="s">
        <v>162</v>
      </c>
      <c r="Y197" s="42"/>
      <c r="Z197" s="42"/>
      <c r="AA197" s="43">
        <v>46236</v>
      </c>
      <c r="AB197" s="42" t="s">
        <v>169</v>
      </c>
    </row>
    <row r="198" spans="1:28" ht="28" customHeight="1">
      <c r="A198" s="31" t="str">
        <f>Summary!A31</f>
        <v>RPA-028</v>
      </c>
      <c r="B198" s="31" t="str">
        <f>Summary!B31</f>
        <v>Process 28 — Pending Identification</v>
      </c>
      <c r="C198" s="31">
        <f>Summary!C31</f>
        <v>0</v>
      </c>
      <c r="D198" s="31">
        <f>Summary!D31</f>
        <v>0</v>
      </c>
      <c r="E198" s="41">
        <f>Summary!E31</f>
        <v>0</v>
      </c>
      <c r="F198" s="31">
        <f>Summary!F31</f>
        <v>0</v>
      </c>
      <c r="G198" s="31">
        <f>Summary!G31</f>
        <v>0</v>
      </c>
      <c r="H198" s="31" t="str">
        <f>Summary!H31</f>
        <v>S2</v>
      </c>
      <c r="I198" s="31" t="str">
        <f>Summary!I31</f>
        <v>Not identified</v>
      </c>
      <c r="J198" s="42" t="s">
        <v>26</v>
      </c>
      <c r="K198" s="42">
        <f>IF(B198="","",Summary!Q31)</f>
        <v>1</v>
      </c>
      <c r="L198" s="43">
        <f>IF(M197="","",WORKDAY.INTL(M197,1,7))</f>
        <v>46453</v>
      </c>
      <c r="M198" s="43">
        <f t="shared" si="60"/>
        <v>46453</v>
      </c>
      <c r="N198" s="42" t="s">
        <v>178</v>
      </c>
      <c r="O198" s="44">
        <f t="shared" si="61"/>
        <v>0</v>
      </c>
      <c r="P198" s="42"/>
      <c r="Q198" s="42" t="s">
        <v>180</v>
      </c>
      <c r="R198" s="47"/>
      <c r="S198" s="47"/>
      <c r="T198" s="43"/>
      <c r="U198" s="43"/>
      <c r="V198" s="42">
        <f t="shared" ca="1" si="62"/>
        <v>0</v>
      </c>
      <c r="W198" s="42" t="str">
        <f t="shared" ca="1" si="63"/>
        <v>Green</v>
      </c>
      <c r="X198" s="42" t="s">
        <v>162</v>
      </c>
      <c r="Y198" s="42"/>
      <c r="Z198" s="42"/>
      <c r="AA198" s="43">
        <v>46236</v>
      </c>
      <c r="AB198" s="42" t="s">
        <v>169</v>
      </c>
    </row>
    <row r="199" spans="1:28" ht="28" customHeight="1">
      <c r="A199" s="31" t="str">
        <f>Summary!A31</f>
        <v>RPA-028</v>
      </c>
      <c r="B199" s="31" t="str">
        <f>Summary!B31</f>
        <v>Process 28 — Pending Identification</v>
      </c>
      <c r="C199" s="31">
        <f>Summary!C31</f>
        <v>0</v>
      </c>
      <c r="D199" s="31">
        <f>Summary!D31</f>
        <v>0</v>
      </c>
      <c r="E199" s="41">
        <f>Summary!E31</f>
        <v>0</v>
      </c>
      <c r="F199" s="31">
        <f>Summary!F31</f>
        <v>0</v>
      </c>
      <c r="G199" s="31">
        <f>Summary!G31</f>
        <v>0</v>
      </c>
      <c r="H199" s="31" t="str">
        <f>Summary!H31</f>
        <v>S2</v>
      </c>
      <c r="I199" s="31" t="str">
        <f>Summary!I31</f>
        <v>Not identified</v>
      </c>
      <c r="J199" s="42" t="s">
        <v>27</v>
      </c>
      <c r="K199" s="42">
        <f>IF(B199="","",Summary!R31)</f>
        <v>1</v>
      </c>
      <c r="L199" s="43">
        <f>IF(M198="","",WORKDAY.INTL(M198,1,7))</f>
        <v>46454</v>
      </c>
      <c r="M199" s="43">
        <f t="shared" si="60"/>
        <v>46454</v>
      </c>
      <c r="N199" s="42" t="s">
        <v>178</v>
      </c>
      <c r="O199" s="44">
        <f t="shared" si="61"/>
        <v>0</v>
      </c>
      <c r="P199" s="42"/>
      <c r="Q199" s="42" t="s">
        <v>175</v>
      </c>
      <c r="R199" s="47"/>
      <c r="S199" s="47"/>
      <c r="T199" s="43"/>
      <c r="U199" s="43"/>
      <c r="V199" s="42">
        <f t="shared" ca="1" si="62"/>
        <v>0</v>
      </c>
      <c r="W199" s="42" t="str">
        <f t="shared" ca="1" si="63"/>
        <v>Green</v>
      </c>
      <c r="X199" s="42" t="s">
        <v>162</v>
      </c>
      <c r="Y199" s="42"/>
      <c r="Z199" s="42"/>
      <c r="AA199" s="43">
        <v>46236</v>
      </c>
      <c r="AB199" s="42" t="s">
        <v>169</v>
      </c>
    </row>
    <row r="200" spans="1:28" ht="28" customHeight="1">
      <c r="A200" s="30" t="str">
        <f>Summary!A32</f>
        <v>RPA-029</v>
      </c>
      <c r="B200" s="30" t="str">
        <f>Summary!B32</f>
        <v>Process 29 — Pending Identification</v>
      </c>
      <c r="C200" s="30">
        <f>Summary!C32</f>
        <v>0</v>
      </c>
      <c r="D200" s="30">
        <f>Summary!D32</f>
        <v>0</v>
      </c>
      <c r="E200" s="38">
        <f>Summary!E32</f>
        <v>0</v>
      </c>
      <c r="F200" s="30">
        <f>Summary!F32</f>
        <v>0</v>
      </c>
      <c r="G200" s="30">
        <f>Summary!G32</f>
        <v>0</v>
      </c>
      <c r="H200" s="30" t="str">
        <f>Summary!H32</f>
        <v>S3</v>
      </c>
      <c r="I200" s="30" t="str">
        <f>Summary!I32</f>
        <v>Not identified</v>
      </c>
      <c r="J200" s="30" t="s">
        <v>161</v>
      </c>
      <c r="K200" s="30">
        <f>IF(B200="","",SUM(K201:K206))</f>
        <v>34</v>
      </c>
      <c r="L200" s="39">
        <f>IF(B200="","",L201)</f>
        <v>46439</v>
      </c>
      <c r="M200" s="39">
        <f>IF(B200="","",M206)</f>
        <v>46484</v>
      </c>
      <c r="N200" s="30" t="str">
        <f>IF(B200="","",IF(O200=100%,"Completed",IF(COUNTIF(N201:N206,"On Hold")&gt;0,"On Hold",IF(O200&gt;0%,"In Progress","Not Started"))))</f>
        <v>Not Started</v>
      </c>
      <c r="O200" s="44">
        <f>IF(B200="","",AVERAGE(O201:O206))</f>
        <v>0</v>
      </c>
      <c r="P200" s="40"/>
      <c r="Q200" s="40"/>
      <c r="R200" s="46"/>
      <c r="S200" s="46"/>
      <c r="T200" s="40" t="str">
        <f>IF(COUNT(T201:T206)=0,"",MIN(T201:T206))</f>
        <v/>
      </c>
      <c r="U200" s="40" t="str">
        <f>IF(COUNT(U201:U206)=0,"",MAX(U201:U206))</f>
        <v/>
      </c>
      <c r="V200" s="40">
        <f t="shared" ca="1" si="62"/>
        <v>0</v>
      </c>
      <c r="W200" s="40" t="str">
        <f t="shared" ca="1" si="63"/>
        <v>Green</v>
      </c>
      <c r="X200" s="40" t="s">
        <v>162</v>
      </c>
      <c r="Y200" s="40"/>
      <c r="Z200" s="40"/>
      <c r="AA200" s="40">
        <v>46236</v>
      </c>
      <c r="AB200" s="40" t="s">
        <v>169</v>
      </c>
    </row>
    <row r="201" spans="1:28" ht="28" customHeight="1">
      <c r="A201" s="31" t="str">
        <f>Summary!A32</f>
        <v>RPA-029</v>
      </c>
      <c r="B201" s="31" t="str">
        <f>Summary!B32</f>
        <v>Process 29 — Pending Identification</v>
      </c>
      <c r="C201" s="31">
        <f>Summary!C32</f>
        <v>0</v>
      </c>
      <c r="D201" s="31">
        <f>Summary!D32</f>
        <v>0</v>
      </c>
      <c r="E201" s="41">
        <f>Summary!E32</f>
        <v>0</v>
      </c>
      <c r="F201" s="31">
        <f>Summary!F32</f>
        <v>0</v>
      </c>
      <c r="G201" s="31">
        <f>Summary!G32</f>
        <v>0</v>
      </c>
      <c r="H201" s="31" t="str">
        <f>Summary!H32</f>
        <v>S3</v>
      </c>
      <c r="I201" s="31" t="str">
        <f>Summary!I32</f>
        <v>Not identified</v>
      </c>
      <c r="J201" s="42" t="s">
        <v>18</v>
      </c>
      <c r="K201" s="42">
        <f>IF(B201="","",Summary!M32)</f>
        <v>20</v>
      </c>
      <c r="L201" s="43">
        <f>IF(Summary!$L32="","",Summary!$L32)</f>
        <v>46439</v>
      </c>
      <c r="M201" s="43">
        <f t="shared" ref="M201:M206" si="64">IF(OR(L201="",K201=""),"",WORKDAY.INTL(L201-1,K201,7))</f>
        <v>46464</v>
      </c>
      <c r="N201" s="42" t="s">
        <v>178</v>
      </c>
      <c r="O201" s="44">
        <f t="shared" ref="O201:O206" si="65">IF(B201="","",IF(N201="Completed",100%,IF(OR(N201="In Progress",N201="On Hold"),50%,0%)))</f>
        <v>0</v>
      </c>
      <c r="P201" s="42"/>
      <c r="Q201" s="42" t="s">
        <v>171</v>
      </c>
      <c r="R201" s="47"/>
      <c r="S201" s="47"/>
      <c r="T201" s="43"/>
      <c r="U201" s="43"/>
      <c r="V201" s="42">
        <f t="shared" ca="1" si="62"/>
        <v>0</v>
      </c>
      <c r="W201" s="42" t="str">
        <f t="shared" ca="1" si="63"/>
        <v>Green</v>
      </c>
      <c r="X201" s="42" t="s">
        <v>162</v>
      </c>
      <c r="Y201" s="42"/>
      <c r="Z201" s="42"/>
      <c r="AA201" s="43">
        <v>46236</v>
      </c>
      <c r="AB201" s="42" t="s">
        <v>169</v>
      </c>
    </row>
    <row r="202" spans="1:28" ht="28" customHeight="1">
      <c r="A202" s="31" t="str">
        <f>Summary!A32</f>
        <v>RPA-029</v>
      </c>
      <c r="B202" s="31" t="str">
        <f>Summary!B32</f>
        <v>Process 29 — Pending Identification</v>
      </c>
      <c r="C202" s="31">
        <f>Summary!C32</f>
        <v>0</v>
      </c>
      <c r="D202" s="31">
        <f>Summary!D32</f>
        <v>0</v>
      </c>
      <c r="E202" s="41">
        <f>Summary!E32</f>
        <v>0</v>
      </c>
      <c r="F202" s="31">
        <f>Summary!F32</f>
        <v>0</v>
      </c>
      <c r="G202" s="31">
        <f>Summary!G32</f>
        <v>0</v>
      </c>
      <c r="H202" s="31" t="str">
        <f>Summary!H32</f>
        <v>S3</v>
      </c>
      <c r="I202" s="31" t="str">
        <f>Summary!I32</f>
        <v>Not identified</v>
      </c>
      <c r="J202" s="42" t="s">
        <v>20</v>
      </c>
      <c r="K202" s="42">
        <f>IF(B202="","",Summary!N32)</f>
        <v>1</v>
      </c>
      <c r="L202" s="43">
        <f>IF(M201="","",WORKDAY.INTL(M201,1,7))</f>
        <v>46467</v>
      </c>
      <c r="M202" s="43">
        <f t="shared" si="64"/>
        <v>46467</v>
      </c>
      <c r="N202" s="42" t="s">
        <v>178</v>
      </c>
      <c r="O202" s="44">
        <f t="shared" si="65"/>
        <v>0</v>
      </c>
      <c r="P202" s="42"/>
      <c r="Q202" s="42" t="s">
        <v>171</v>
      </c>
      <c r="R202" s="47"/>
      <c r="S202" s="47"/>
      <c r="T202" s="43"/>
      <c r="U202" s="43"/>
      <c r="V202" s="42">
        <f t="shared" ca="1" si="62"/>
        <v>0</v>
      </c>
      <c r="W202" s="42" t="str">
        <f t="shared" ca="1" si="63"/>
        <v>Green</v>
      </c>
      <c r="X202" s="42" t="s">
        <v>162</v>
      </c>
      <c r="Y202" s="42"/>
      <c r="Z202" s="42"/>
      <c r="AA202" s="43">
        <v>46236</v>
      </c>
      <c r="AB202" s="42" t="s">
        <v>169</v>
      </c>
    </row>
    <row r="203" spans="1:28" ht="28" customHeight="1">
      <c r="A203" s="31" t="str">
        <f>Summary!A32</f>
        <v>RPA-029</v>
      </c>
      <c r="B203" s="31" t="str">
        <f>Summary!B32</f>
        <v>Process 29 — Pending Identification</v>
      </c>
      <c r="C203" s="31">
        <f>Summary!C32</f>
        <v>0</v>
      </c>
      <c r="D203" s="31">
        <f>Summary!D32</f>
        <v>0</v>
      </c>
      <c r="E203" s="41">
        <f>Summary!E32</f>
        <v>0</v>
      </c>
      <c r="F203" s="31">
        <f>Summary!F32</f>
        <v>0</v>
      </c>
      <c r="G203" s="31">
        <f>Summary!G32</f>
        <v>0</v>
      </c>
      <c r="H203" s="31" t="str">
        <f>Summary!H32</f>
        <v>S3</v>
      </c>
      <c r="I203" s="31" t="str">
        <f>Summary!I32</f>
        <v>Not identified</v>
      </c>
      <c r="J203" s="42" t="s">
        <v>22</v>
      </c>
      <c r="K203" s="42">
        <f>IF(B203="","",Summary!O32)</f>
        <v>1</v>
      </c>
      <c r="L203" s="43">
        <f>IF(M202="","",WORKDAY.INTL(M202,1,7))</f>
        <v>46468</v>
      </c>
      <c r="M203" s="43">
        <f t="shared" si="64"/>
        <v>46468</v>
      </c>
      <c r="N203" s="42" t="s">
        <v>178</v>
      </c>
      <c r="O203" s="44">
        <f t="shared" si="65"/>
        <v>0</v>
      </c>
      <c r="P203" s="42"/>
      <c r="Q203" s="42" t="s">
        <v>172</v>
      </c>
      <c r="R203" s="47"/>
      <c r="S203" s="47"/>
      <c r="T203" s="43"/>
      <c r="U203" s="43"/>
      <c r="V203" s="42">
        <f t="shared" ca="1" si="62"/>
        <v>0</v>
      </c>
      <c r="W203" s="42" t="str">
        <f t="shared" ca="1" si="63"/>
        <v>Green</v>
      </c>
      <c r="X203" s="42" t="s">
        <v>162</v>
      </c>
      <c r="Y203" s="42"/>
      <c r="Z203" s="42"/>
      <c r="AA203" s="43">
        <v>46236</v>
      </c>
      <c r="AB203" s="42" t="s">
        <v>169</v>
      </c>
    </row>
    <row r="204" spans="1:28" ht="28" customHeight="1">
      <c r="A204" s="31" t="str">
        <f>Summary!A32</f>
        <v>RPA-029</v>
      </c>
      <c r="B204" s="31" t="str">
        <f>Summary!B32</f>
        <v>Process 29 — Pending Identification</v>
      </c>
      <c r="C204" s="31">
        <f>Summary!C32</f>
        <v>0</v>
      </c>
      <c r="D204" s="31">
        <f>Summary!D32</f>
        <v>0</v>
      </c>
      <c r="E204" s="41">
        <f>Summary!E32</f>
        <v>0</v>
      </c>
      <c r="F204" s="31">
        <f>Summary!F32</f>
        <v>0</v>
      </c>
      <c r="G204" s="31">
        <f>Summary!G32</f>
        <v>0</v>
      </c>
      <c r="H204" s="31" t="str">
        <f>Summary!H32</f>
        <v>S3</v>
      </c>
      <c r="I204" s="31" t="str">
        <f>Summary!I32</f>
        <v>Not identified</v>
      </c>
      <c r="J204" s="42" t="s">
        <v>24</v>
      </c>
      <c r="K204" s="42">
        <f>IF(B204="","",Summary!P32)</f>
        <v>10</v>
      </c>
      <c r="L204" s="43">
        <f>IF(M203="","",WORKDAY.INTL(M203,1,7))</f>
        <v>46469</v>
      </c>
      <c r="M204" s="43">
        <f t="shared" si="64"/>
        <v>46482</v>
      </c>
      <c r="N204" s="42" t="s">
        <v>178</v>
      </c>
      <c r="O204" s="44">
        <f t="shared" si="65"/>
        <v>0</v>
      </c>
      <c r="P204" s="42"/>
      <c r="Q204" s="42" t="s">
        <v>175</v>
      </c>
      <c r="R204" s="47"/>
      <c r="S204" s="47"/>
      <c r="T204" s="43"/>
      <c r="U204" s="43"/>
      <c r="V204" s="42">
        <f t="shared" ca="1" si="62"/>
        <v>0</v>
      </c>
      <c r="W204" s="42" t="str">
        <f t="shared" ca="1" si="63"/>
        <v>Green</v>
      </c>
      <c r="X204" s="42" t="s">
        <v>162</v>
      </c>
      <c r="Y204" s="42"/>
      <c r="Z204" s="42"/>
      <c r="AA204" s="43">
        <v>46236</v>
      </c>
      <c r="AB204" s="42" t="s">
        <v>169</v>
      </c>
    </row>
    <row r="205" spans="1:28" ht="28" customHeight="1">
      <c r="A205" s="31" t="str">
        <f>Summary!A32</f>
        <v>RPA-029</v>
      </c>
      <c r="B205" s="31" t="str">
        <f>Summary!B32</f>
        <v>Process 29 — Pending Identification</v>
      </c>
      <c r="C205" s="31">
        <f>Summary!C32</f>
        <v>0</v>
      </c>
      <c r="D205" s="31">
        <f>Summary!D32</f>
        <v>0</v>
      </c>
      <c r="E205" s="41">
        <f>Summary!E32</f>
        <v>0</v>
      </c>
      <c r="F205" s="31">
        <f>Summary!F32</f>
        <v>0</v>
      </c>
      <c r="G205" s="31">
        <f>Summary!G32</f>
        <v>0</v>
      </c>
      <c r="H205" s="31" t="str">
        <f>Summary!H32</f>
        <v>S3</v>
      </c>
      <c r="I205" s="31" t="str">
        <f>Summary!I32</f>
        <v>Not identified</v>
      </c>
      <c r="J205" s="42" t="s">
        <v>26</v>
      </c>
      <c r="K205" s="42">
        <f>IF(B205="","",Summary!Q32)</f>
        <v>1</v>
      </c>
      <c r="L205" s="43">
        <f>IF(M204="","",WORKDAY.INTL(M204,1,7))</f>
        <v>46483</v>
      </c>
      <c r="M205" s="43">
        <f t="shared" si="64"/>
        <v>46483</v>
      </c>
      <c r="N205" s="42" t="s">
        <v>178</v>
      </c>
      <c r="O205" s="44">
        <f t="shared" si="65"/>
        <v>0</v>
      </c>
      <c r="P205" s="42"/>
      <c r="Q205" s="42" t="s">
        <v>180</v>
      </c>
      <c r="R205" s="47"/>
      <c r="S205" s="47"/>
      <c r="T205" s="43"/>
      <c r="U205" s="43"/>
      <c r="V205" s="42">
        <f t="shared" ca="1" si="62"/>
        <v>0</v>
      </c>
      <c r="W205" s="42" t="str">
        <f t="shared" ca="1" si="63"/>
        <v>Green</v>
      </c>
      <c r="X205" s="42" t="s">
        <v>162</v>
      </c>
      <c r="Y205" s="42"/>
      <c r="Z205" s="42"/>
      <c r="AA205" s="43">
        <v>46236</v>
      </c>
      <c r="AB205" s="42" t="s">
        <v>169</v>
      </c>
    </row>
    <row r="206" spans="1:28" ht="28" customHeight="1">
      <c r="A206" s="31" t="str">
        <f>Summary!A32</f>
        <v>RPA-029</v>
      </c>
      <c r="B206" s="31" t="str">
        <f>Summary!B32</f>
        <v>Process 29 — Pending Identification</v>
      </c>
      <c r="C206" s="31">
        <f>Summary!C32</f>
        <v>0</v>
      </c>
      <c r="D206" s="31">
        <f>Summary!D32</f>
        <v>0</v>
      </c>
      <c r="E206" s="41">
        <f>Summary!E32</f>
        <v>0</v>
      </c>
      <c r="F206" s="31">
        <f>Summary!F32</f>
        <v>0</v>
      </c>
      <c r="G206" s="31">
        <f>Summary!G32</f>
        <v>0</v>
      </c>
      <c r="H206" s="31" t="str">
        <f>Summary!H32</f>
        <v>S3</v>
      </c>
      <c r="I206" s="31" t="str">
        <f>Summary!I32</f>
        <v>Not identified</v>
      </c>
      <c r="J206" s="42" t="s">
        <v>27</v>
      </c>
      <c r="K206" s="42">
        <f>IF(B206="","",Summary!R32)</f>
        <v>1</v>
      </c>
      <c r="L206" s="43">
        <f>IF(M205="","",WORKDAY.INTL(M205,1,7))</f>
        <v>46484</v>
      </c>
      <c r="M206" s="43">
        <f t="shared" si="64"/>
        <v>46484</v>
      </c>
      <c r="N206" s="42" t="s">
        <v>178</v>
      </c>
      <c r="O206" s="44">
        <f t="shared" si="65"/>
        <v>0</v>
      </c>
      <c r="P206" s="42"/>
      <c r="Q206" s="42" t="s">
        <v>175</v>
      </c>
      <c r="R206" s="47"/>
      <c r="S206" s="47"/>
      <c r="T206" s="43"/>
      <c r="U206" s="43"/>
      <c r="V206" s="42">
        <f t="shared" ca="1" si="62"/>
        <v>0</v>
      </c>
      <c r="W206" s="42" t="str">
        <f t="shared" ca="1" si="63"/>
        <v>Green</v>
      </c>
      <c r="X206" s="42" t="s">
        <v>162</v>
      </c>
      <c r="Y206" s="42"/>
      <c r="Z206" s="42"/>
      <c r="AA206" s="43">
        <v>46236</v>
      </c>
      <c r="AB206" s="42" t="s">
        <v>169</v>
      </c>
    </row>
    <row r="207" spans="1:28" ht="28" customHeight="1">
      <c r="A207" s="30" t="str">
        <f>Summary!A33</f>
        <v>RPA-030</v>
      </c>
      <c r="B207" s="30" t="str">
        <f>Summary!B33</f>
        <v>Process 30 — Pending Identification</v>
      </c>
      <c r="C207" s="30">
        <f>Summary!C33</f>
        <v>0</v>
      </c>
      <c r="D207" s="30">
        <f>Summary!D33</f>
        <v>0</v>
      </c>
      <c r="E207" s="38">
        <f>Summary!E33</f>
        <v>0</v>
      </c>
      <c r="F207" s="30">
        <f>Summary!F33</f>
        <v>0</v>
      </c>
      <c r="G207" s="30">
        <f>Summary!G33</f>
        <v>0</v>
      </c>
      <c r="H207" s="30" t="str">
        <f>Summary!H33</f>
        <v>S1</v>
      </c>
      <c r="I207" s="30" t="str">
        <f>Summary!I33</f>
        <v>Not identified</v>
      </c>
      <c r="J207" s="30" t="s">
        <v>161</v>
      </c>
      <c r="K207" s="30">
        <f>IF(B207="","",SUM(K208:K213))</f>
        <v>34</v>
      </c>
      <c r="L207" s="39">
        <f>IF(B207="","",L208)</f>
        <v>46439</v>
      </c>
      <c r="M207" s="39">
        <f>IF(B207="","",M213)</f>
        <v>46484</v>
      </c>
      <c r="N207" s="30" t="str">
        <f>IF(B207="","",IF(O207=100%,"Completed",IF(COUNTIF(N208:N213,"On Hold")&gt;0,"On Hold",IF(O207&gt;0%,"In Progress","Not Started"))))</f>
        <v>Not Started</v>
      </c>
      <c r="O207" s="44">
        <f>IF(B207="","",AVERAGE(O208:O213))</f>
        <v>0</v>
      </c>
      <c r="P207" s="40"/>
      <c r="Q207" s="40"/>
      <c r="R207" s="46"/>
      <c r="S207" s="46"/>
      <c r="T207" s="40" t="str">
        <f>IF(COUNT(T208:T213)=0,"",MIN(T208:T213))</f>
        <v/>
      </c>
      <c r="U207" s="40" t="str">
        <f>IF(COUNT(U208:U213)=0,"",MAX(U208:U213))</f>
        <v/>
      </c>
      <c r="V207" s="40">
        <f t="shared" ca="1" si="62"/>
        <v>0</v>
      </c>
      <c r="W207" s="40" t="str">
        <f t="shared" ca="1" si="63"/>
        <v>Green</v>
      </c>
      <c r="X207" s="40" t="s">
        <v>162</v>
      </c>
      <c r="Y207" s="40"/>
      <c r="Z207" s="40"/>
      <c r="AA207" s="40">
        <v>46236</v>
      </c>
      <c r="AB207" s="40" t="s">
        <v>169</v>
      </c>
    </row>
    <row r="208" spans="1:28" ht="28" customHeight="1">
      <c r="A208" s="31" t="str">
        <f>Summary!A33</f>
        <v>RPA-030</v>
      </c>
      <c r="B208" s="31" t="str">
        <f>Summary!B33</f>
        <v>Process 30 — Pending Identification</v>
      </c>
      <c r="C208" s="31">
        <f>Summary!C33</f>
        <v>0</v>
      </c>
      <c r="D208" s="31">
        <f>Summary!D33</f>
        <v>0</v>
      </c>
      <c r="E208" s="41">
        <f>Summary!E33</f>
        <v>0</v>
      </c>
      <c r="F208" s="31">
        <f>Summary!F33</f>
        <v>0</v>
      </c>
      <c r="G208" s="31">
        <f>Summary!G33</f>
        <v>0</v>
      </c>
      <c r="H208" s="31" t="str">
        <f>Summary!H33</f>
        <v>S1</v>
      </c>
      <c r="I208" s="31" t="str">
        <f>Summary!I33</f>
        <v>Not identified</v>
      </c>
      <c r="J208" s="42" t="s">
        <v>18</v>
      </c>
      <c r="K208" s="42">
        <f>IF(B208="","",Summary!M33)</f>
        <v>20</v>
      </c>
      <c r="L208" s="43">
        <f>IF(Summary!$L33="","",Summary!$L33)</f>
        <v>46439</v>
      </c>
      <c r="M208" s="43">
        <f t="shared" ref="M208:M213" si="66">IF(OR(L208="",K208=""),"",WORKDAY.INTL(L208-1,K208,7))</f>
        <v>46464</v>
      </c>
      <c r="N208" s="42" t="s">
        <v>178</v>
      </c>
      <c r="O208" s="44">
        <f t="shared" ref="O208:O213" si="67">IF(B208="","",IF(N208="Completed",100%,IF(OR(N208="In Progress",N208="On Hold"),50%,0%)))</f>
        <v>0</v>
      </c>
      <c r="P208" s="42"/>
      <c r="Q208" s="42" t="s">
        <v>171</v>
      </c>
      <c r="R208" s="47"/>
      <c r="S208" s="47"/>
      <c r="T208" s="43"/>
      <c r="U208" s="43"/>
      <c r="V208" s="42">
        <f t="shared" ca="1" si="62"/>
        <v>0</v>
      </c>
      <c r="W208" s="42" t="str">
        <f t="shared" ca="1" si="63"/>
        <v>Green</v>
      </c>
      <c r="X208" s="42" t="s">
        <v>162</v>
      </c>
      <c r="Y208" s="42"/>
      <c r="Z208" s="42"/>
      <c r="AA208" s="43">
        <v>46236</v>
      </c>
      <c r="AB208" s="42" t="s">
        <v>169</v>
      </c>
    </row>
    <row r="209" spans="1:28" ht="28" customHeight="1">
      <c r="A209" s="31" t="str">
        <f>Summary!A33</f>
        <v>RPA-030</v>
      </c>
      <c r="B209" s="31" t="str">
        <f>Summary!B33</f>
        <v>Process 30 — Pending Identification</v>
      </c>
      <c r="C209" s="31">
        <f>Summary!C33</f>
        <v>0</v>
      </c>
      <c r="D209" s="31">
        <f>Summary!D33</f>
        <v>0</v>
      </c>
      <c r="E209" s="41">
        <f>Summary!E33</f>
        <v>0</v>
      </c>
      <c r="F209" s="31">
        <f>Summary!F33</f>
        <v>0</v>
      </c>
      <c r="G209" s="31">
        <f>Summary!G33</f>
        <v>0</v>
      </c>
      <c r="H209" s="31" t="str">
        <f>Summary!H33</f>
        <v>S1</v>
      </c>
      <c r="I209" s="31" t="str">
        <f>Summary!I33</f>
        <v>Not identified</v>
      </c>
      <c r="J209" s="42" t="s">
        <v>20</v>
      </c>
      <c r="K209" s="42">
        <f>IF(B209="","",Summary!N33)</f>
        <v>1</v>
      </c>
      <c r="L209" s="43">
        <f>IF(M208="","",WORKDAY.INTL(M208,1,7))</f>
        <v>46467</v>
      </c>
      <c r="M209" s="43">
        <f t="shared" si="66"/>
        <v>46467</v>
      </c>
      <c r="N209" s="42" t="s">
        <v>178</v>
      </c>
      <c r="O209" s="44">
        <f t="shared" si="67"/>
        <v>0</v>
      </c>
      <c r="P209" s="42"/>
      <c r="Q209" s="42" t="s">
        <v>171</v>
      </c>
      <c r="R209" s="47"/>
      <c r="S209" s="47"/>
      <c r="T209" s="43"/>
      <c r="U209" s="43"/>
      <c r="V209" s="42">
        <f t="shared" ca="1" si="62"/>
        <v>0</v>
      </c>
      <c r="W209" s="42" t="str">
        <f t="shared" ca="1" si="63"/>
        <v>Green</v>
      </c>
      <c r="X209" s="42" t="s">
        <v>162</v>
      </c>
      <c r="Y209" s="42"/>
      <c r="Z209" s="42"/>
      <c r="AA209" s="43">
        <v>46236</v>
      </c>
      <c r="AB209" s="42" t="s">
        <v>169</v>
      </c>
    </row>
    <row r="210" spans="1:28" ht="28" customHeight="1">
      <c r="A210" s="31" t="str">
        <f>Summary!A33</f>
        <v>RPA-030</v>
      </c>
      <c r="B210" s="31" t="str">
        <f>Summary!B33</f>
        <v>Process 30 — Pending Identification</v>
      </c>
      <c r="C210" s="31">
        <f>Summary!C33</f>
        <v>0</v>
      </c>
      <c r="D210" s="31">
        <f>Summary!D33</f>
        <v>0</v>
      </c>
      <c r="E210" s="41">
        <f>Summary!E33</f>
        <v>0</v>
      </c>
      <c r="F210" s="31">
        <f>Summary!F33</f>
        <v>0</v>
      </c>
      <c r="G210" s="31">
        <f>Summary!G33</f>
        <v>0</v>
      </c>
      <c r="H210" s="31" t="str">
        <f>Summary!H33</f>
        <v>S1</v>
      </c>
      <c r="I210" s="31" t="str">
        <f>Summary!I33</f>
        <v>Not identified</v>
      </c>
      <c r="J210" s="42" t="s">
        <v>22</v>
      </c>
      <c r="K210" s="42">
        <f>IF(B210="","",Summary!O33)</f>
        <v>1</v>
      </c>
      <c r="L210" s="43">
        <f>IF(M209="","",WORKDAY.INTL(M209,1,7))</f>
        <v>46468</v>
      </c>
      <c r="M210" s="43">
        <f t="shared" si="66"/>
        <v>46468</v>
      </c>
      <c r="N210" s="42" t="s">
        <v>178</v>
      </c>
      <c r="O210" s="44">
        <f t="shared" si="67"/>
        <v>0</v>
      </c>
      <c r="P210" s="42"/>
      <c r="Q210" s="42" t="s">
        <v>172</v>
      </c>
      <c r="R210" s="47"/>
      <c r="S210" s="47"/>
      <c r="T210" s="43"/>
      <c r="U210" s="43"/>
      <c r="V210" s="42">
        <f t="shared" ca="1" si="62"/>
        <v>0</v>
      </c>
      <c r="W210" s="42" t="str">
        <f t="shared" ca="1" si="63"/>
        <v>Green</v>
      </c>
      <c r="X210" s="42" t="s">
        <v>162</v>
      </c>
      <c r="Y210" s="42"/>
      <c r="Z210" s="42"/>
      <c r="AA210" s="43">
        <v>46236</v>
      </c>
      <c r="AB210" s="42" t="s">
        <v>169</v>
      </c>
    </row>
    <row r="211" spans="1:28" ht="28" customHeight="1">
      <c r="A211" s="31" t="str">
        <f>Summary!A33</f>
        <v>RPA-030</v>
      </c>
      <c r="B211" s="31" t="str">
        <f>Summary!B33</f>
        <v>Process 30 — Pending Identification</v>
      </c>
      <c r="C211" s="31">
        <f>Summary!C33</f>
        <v>0</v>
      </c>
      <c r="D211" s="31">
        <f>Summary!D33</f>
        <v>0</v>
      </c>
      <c r="E211" s="41">
        <f>Summary!E33</f>
        <v>0</v>
      </c>
      <c r="F211" s="31">
        <f>Summary!F33</f>
        <v>0</v>
      </c>
      <c r="G211" s="31">
        <f>Summary!G33</f>
        <v>0</v>
      </c>
      <c r="H211" s="31" t="str">
        <f>Summary!H33</f>
        <v>S1</v>
      </c>
      <c r="I211" s="31" t="str">
        <f>Summary!I33</f>
        <v>Not identified</v>
      </c>
      <c r="J211" s="42" t="s">
        <v>24</v>
      </c>
      <c r="K211" s="42">
        <f>IF(B211="","",Summary!P33)</f>
        <v>10</v>
      </c>
      <c r="L211" s="43">
        <f>IF(M210="","",WORKDAY.INTL(M210,1,7))</f>
        <v>46469</v>
      </c>
      <c r="M211" s="43">
        <f t="shared" si="66"/>
        <v>46482</v>
      </c>
      <c r="N211" s="42" t="s">
        <v>178</v>
      </c>
      <c r="O211" s="44">
        <f t="shared" si="67"/>
        <v>0</v>
      </c>
      <c r="P211" s="42"/>
      <c r="Q211" s="42" t="s">
        <v>175</v>
      </c>
      <c r="R211" s="47"/>
      <c r="S211" s="47"/>
      <c r="T211" s="43"/>
      <c r="U211" s="43"/>
      <c r="V211" s="42">
        <f t="shared" ca="1" si="62"/>
        <v>0</v>
      </c>
      <c r="W211" s="42" t="str">
        <f t="shared" ca="1" si="63"/>
        <v>Green</v>
      </c>
      <c r="X211" s="42" t="s">
        <v>162</v>
      </c>
      <c r="Y211" s="42"/>
      <c r="Z211" s="42"/>
      <c r="AA211" s="43">
        <v>46236</v>
      </c>
      <c r="AB211" s="42" t="s">
        <v>169</v>
      </c>
    </row>
    <row r="212" spans="1:28" ht="28" customHeight="1">
      <c r="A212" s="31" t="str">
        <f>Summary!A33</f>
        <v>RPA-030</v>
      </c>
      <c r="B212" s="31" t="str">
        <f>Summary!B33</f>
        <v>Process 30 — Pending Identification</v>
      </c>
      <c r="C212" s="31">
        <f>Summary!C33</f>
        <v>0</v>
      </c>
      <c r="D212" s="31">
        <f>Summary!D33</f>
        <v>0</v>
      </c>
      <c r="E212" s="41">
        <f>Summary!E33</f>
        <v>0</v>
      </c>
      <c r="F212" s="31">
        <f>Summary!F33</f>
        <v>0</v>
      </c>
      <c r="G212" s="31">
        <f>Summary!G33</f>
        <v>0</v>
      </c>
      <c r="H212" s="31" t="str">
        <f>Summary!H33</f>
        <v>S1</v>
      </c>
      <c r="I212" s="31" t="str">
        <f>Summary!I33</f>
        <v>Not identified</v>
      </c>
      <c r="J212" s="42" t="s">
        <v>26</v>
      </c>
      <c r="K212" s="42">
        <f>IF(B212="","",Summary!Q33)</f>
        <v>1</v>
      </c>
      <c r="L212" s="43">
        <f>IF(M211="","",WORKDAY.INTL(M211,1,7))</f>
        <v>46483</v>
      </c>
      <c r="M212" s="43">
        <f t="shared" si="66"/>
        <v>46483</v>
      </c>
      <c r="N212" s="42" t="s">
        <v>178</v>
      </c>
      <c r="O212" s="44">
        <f t="shared" si="67"/>
        <v>0</v>
      </c>
      <c r="P212" s="42"/>
      <c r="Q212" s="42" t="s">
        <v>180</v>
      </c>
      <c r="R212" s="47"/>
      <c r="S212" s="47"/>
      <c r="T212" s="43"/>
      <c r="U212" s="43"/>
      <c r="V212" s="42">
        <f t="shared" ca="1" si="62"/>
        <v>0</v>
      </c>
      <c r="W212" s="42" t="str">
        <f t="shared" ca="1" si="63"/>
        <v>Green</v>
      </c>
      <c r="X212" s="42" t="s">
        <v>162</v>
      </c>
      <c r="Y212" s="42"/>
      <c r="Z212" s="42"/>
      <c r="AA212" s="43">
        <v>46236</v>
      </c>
      <c r="AB212" s="42" t="s">
        <v>169</v>
      </c>
    </row>
    <row r="213" spans="1:28" ht="28" customHeight="1">
      <c r="A213" s="31" t="str">
        <f>Summary!A33</f>
        <v>RPA-030</v>
      </c>
      <c r="B213" s="31" t="str">
        <f>Summary!B33</f>
        <v>Process 30 — Pending Identification</v>
      </c>
      <c r="C213" s="31">
        <f>Summary!C33</f>
        <v>0</v>
      </c>
      <c r="D213" s="31">
        <f>Summary!D33</f>
        <v>0</v>
      </c>
      <c r="E213" s="41">
        <f>Summary!E33</f>
        <v>0</v>
      </c>
      <c r="F213" s="31">
        <f>Summary!F33</f>
        <v>0</v>
      </c>
      <c r="G213" s="31">
        <f>Summary!G33</f>
        <v>0</v>
      </c>
      <c r="H213" s="31" t="str">
        <f>Summary!H33</f>
        <v>S1</v>
      </c>
      <c r="I213" s="31" t="str">
        <f>Summary!I33</f>
        <v>Not identified</v>
      </c>
      <c r="J213" s="42" t="s">
        <v>27</v>
      </c>
      <c r="K213" s="42">
        <f>IF(B213="","",Summary!R33)</f>
        <v>1</v>
      </c>
      <c r="L213" s="43">
        <f>IF(M212="","",WORKDAY.INTL(M212,1,7))</f>
        <v>46484</v>
      </c>
      <c r="M213" s="43">
        <f t="shared" si="66"/>
        <v>46484</v>
      </c>
      <c r="N213" s="42" t="s">
        <v>178</v>
      </c>
      <c r="O213" s="44">
        <f t="shared" si="67"/>
        <v>0</v>
      </c>
      <c r="P213" s="42"/>
      <c r="Q213" s="42" t="s">
        <v>175</v>
      </c>
      <c r="R213" s="47"/>
      <c r="S213" s="47"/>
      <c r="T213" s="43"/>
      <c r="U213" s="43"/>
      <c r="V213" s="42">
        <f t="shared" ca="1" si="62"/>
        <v>0</v>
      </c>
      <c r="W213" s="42" t="str">
        <f t="shared" ca="1" si="63"/>
        <v>Green</v>
      </c>
      <c r="X213" s="42" t="s">
        <v>162</v>
      </c>
      <c r="Y213" s="42"/>
      <c r="Z213" s="42"/>
      <c r="AA213" s="43">
        <v>46236</v>
      </c>
      <c r="AB213" s="42" t="s">
        <v>169</v>
      </c>
    </row>
  </sheetData>
  <mergeCells count="2">
    <mergeCell ref="A1:AB1"/>
    <mergeCell ref="A2:AB2"/>
  </mergeCells>
  <conditionalFormatting sqref="N4:N213">
    <cfRule type="expression" dxfId="8" priority="2">
      <formula>N3="Cancelled"</formula>
    </cfRule>
    <cfRule type="expression" dxfId="7" priority="3">
      <formula>N4="Cancelled"</formula>
    </cfRule>
    <cfRule type="expression" dxfId="6" priority="13">
      <formula>N4="Completed"</formula>
    </cfRule>
    <cfRule type="expression" dxfId="5" priority="14">
      <formula>N4="In Progress"</formula>
    </cfRule>
    <cfRule type="expression" dxfId="4" priority="15">
      <formula>N4="On Hold"</formula>
    </cfRule>
  </conditionalFormatting>
  <conditionalFormatting sqref="O4:O1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{38409FDD-95F5-492A-885D-4B3282262EE0}</x14:id>
        </ext>
      </extLst>
    </cfRule>
  </conditionalFormatting>
  <conditionalFormatting sqref="O15:O213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{8E462B0F-8570-4AF7-983E-0D9C9954AC8A}</x14:id>
        </ext>
      </extLst>
    </cfRule>
  </conditionalFormatting>
  <conditionalFormatting sqref="W5:W10 W12:W17 W19:W24 W26:W31 W33:W38 W40:W45 W47:W52 W54:W59 W61:W66 W68:W73 W75:W80 W82:W87 W89:W94 W96:W101 W103:W108 W110:W115 W117:W122 W124:W129 W131:W136 W138:W143 W145:W150 W152:W157 W159:W164 W166:W171 W173:W178 W180:W185 W187:W192 W194:W199 W201:W206 W208:W213">
    <cfRule type="expression" dxfId="3" priority="17">
      <formula>W5="Red"</formula>
    </cfRule>
    <cfRule type="expression" dxfId="2" priority="18">
      <formula>W5="Amber"</formula>
    </cfRule>
    <cfRule type="expression" dxfId="1" priority="19">
      <formula>W5="Green"</formula>
    </cfRule>
  </conditionalFormatting>
  <conditionalFormatting sqref="X5:X10 X12:X17 X19:X24 X26:X31 X33:X38 X40:X45 X47:X52 X54:X59 X61:X66 X68:X73 X75:X80 X82:X87 X89:X94 X96:X101 X103:X108 X110:X115 X117:X122 X124:X129 X131:X136 X138:X143 X145:X150 X152:X157 X159:X164 X166:X171 X173:X178 X180:X185 X187:X192 X194:X199 X201:X206 X208:X213">
    <cfRule type="expression" dxfId="0" priority="21">
      <formula>X5="Yes"</formula>
    </cfRule>
  </conditionalFormatting>
  <pageMargins left="0.7" right="0.7" top="0.75" bottom="0.75" header="0.3" footer="0.3"/>
  <ignoredErrors>
    <ignoredError sqref="O18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409FDD-95F5-492A-885D-4B3282262EE0}">
            <x14:dataBar minLength="0" maxLength="100" border="1">
              <x14:cfvo type="autoMin"/>
              <x14:cfvo type="autoMax"/>
              <x14:borderColor rgb="FF000000"/>
              <x14:negativeFillColor rgb="FFFF0000"/>
              <x14:axisColor rgb="FF000000"/>
            </x14:dataBar>
          </x14:cfRule>
          <xm:sqref>O4:O14</xm:sqref>
        </x14:conditionalFormatting>
        <x14:conditionalFormatting xmlns:xm="http://schemas.microsoft.com/office/excel/2006/main">
          <x14:cfRule type="dataBar" id="{8E462B0F-8570-4AF7-983E-0D9C9954AC8A}">
            <x14:dataBar minLength="0" maxLength="100" border="1">
              <x14:cfvo type="autoMin"/>
              <x14:cfvo type="autoMax"/>
              <x14:borderColor rgb="FF000000"/>
              <x14:negativeFillColor rgb="FFFF0000"/>
              <x14:axisColor rgb="FF000000"/>
            </x14:dataBar>
          </x14:cfRule>
          <xm:sqref>O15:O213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200-000000000000}">
          <x14:formula1>
            <xm:f>Settings!$D$4:$D$8</xm:f>
          </x14:formula1>
          <xm:sqref>N4:N213</xm:sqref>
        </x14:dataValidation>
        <x14:dataValidation type="list" xr:uid="{00000000-0002-0000-0200-000002000000}">
          <x14:formula1>
            <xm:f>Settings!$N$4:$N$5</xm:f>
          </x14:formula1>
          <xm:sqref>X4:X213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2"/>
  <sheetViews>
    <sheetView showGridLines="0" workbookViewId="0">
      <selection activeCell="B11" sqref="B11"/>
    </sheetView>
  </sheetViews>
  <sheetFormatPr baseColWidth="10" defaultColWidth="8.83203125" defaultRowHeight="15"/>
  <cols>
    <col min="1" max="1" width="25" customWidth="1"/>
    <col min="2" max="2" width="16" customWidth="1"/>
    <col min="3" max="3" width="3" customWidth="1"/>
    <col min="4" max="4" width="18" customWidth="1"/>
    <col min="5" max="5" width="3" customWidth="1"/>
    <col min="6" max="6" width="12" customWidth="1"/>
    <col min="7" max="7" width="3" customWidth="1"/>
    <col min="8" max="8" width="22" customWidth="1"/>
    <col min="9" max="9" width="3" customWidth="1"/>
    <col min="10" max="10" width="14" customWidth="1"/>
    <col min="11" max="11" width="3" customWidth="1"/>
    <col min="12" max="12" width="12" customWidth="1"/>
    <col min="13" max="13" width="3" customWidth="1"/>
    <col min="14" max="14" width="12" customWidth="1"/>
  </cols>
  <sheetData>
    <row r="1" spans="1:14" ht="30" customHeight="1">
      <c r="A1" s="49" t="s">
        <v>201</v>
      </c>
      <c r="B1" s="49" t="s">
        <v>201</v>
      </c>
      <c r="C1" s="49" t="s">
        <v>201</v>
      </c>
      <c r="D1" s="49" t="s">
        <v>201</v>
      </c>
      <c r="E1" s="49" t="s">
        <v>201</v>
      </c>
      <c r="F1" s="49" t="s">
        <v>201</v>
      </c>
      <c r="G1" s="49" t="s">
        <v>201</v>
      </c>
      <c r="H1" s="49" t="s">
        <v>201</v>
      </c>
      <c r="I1" s="49" t="s">
        <v>201</v>
      </c>
      <c r="J1" s="49" t="s">
        <v>201</v>
      </c>
      <c r="K1" s="49" t="s">
        <v>201</v>
      </c>
      <c r="L1" s="49" t="s">
        <v>201</v>
      </c>
      <c r="M1" s="49" t="s">
        <v>201</v>
      </c>
      <c r="N1" s="49" t="s">
        <v>201</v>
      </c>
    </row>
    <row r="3" spans="1:14" ht="34" customHeight="1">
      <c r="A3" s="1" t="s">
        <v>202</v>
      </c>
      <c r="B3" s="1" t="s">
        <v>203</v>
      </c>
      <c r="D3" s="1" t="s">
        <v>204</v>
      </c>
      <c r="F3" s="1" t="s">
        <v>205</v>
      </c>
      <c r="H3" s="1" t="s">
        <v>52</v>
      </c>
      <c r="J3" s="1" t="s">
        <v>50</v>
      </c>
      <c r="L3" s="1" t="s">
        <v>51</v>
      </c>
      <c r="N3" s="1" t="s">
        <v>155</v>
      </c>
    </row>
    <row r="4" spans="1:14">
      <c r="A4" s="2" t="s">
        <v>206</v>
      </c>
      <c r="B4" s="5">
        <v>46187</v>
      </c>
      <c r="D4" s="2" t="s">
        <v>178</v>
      </c>
      <c r="F4" s="2" t="s">
        <v>34</v>
      </c>
      <c r="H4" s="2" t="s">
        <v>71</v>
      </c>
      <c r="J4" s="2" t="s">
        <v>207</v>
      </c>
      <c r="L4" s="2" t="s">
        <v>91</v>
      </c>
      <c r="N4" s="2" t="s">
        <v>162</v>
      </c>
    </row>
    <row r="5" spans="1:14">
      <c r="A5" s="3" t="s">
        <v>56</v>
      </c>
      <c r="B5" s="6">
        <v>3</v>
      </c>
      <c r="D5" s="3" t="s">
        <v>173</v>
      </c>
      <c r="F5" s="3" t="s">
        <v>36</v>
      </c>
      <c r="H5" s="3" t="s">
        <v>116</v>
      </c>
      <c r="J5" s="3" t="s">
        <v>69</v>
      </c>
      <c r="L5" s="3" t="s">
        <v>70</v>
      </c>
      <c r="N5" s="3" t="s">
        <v>208</v>
      </c>
    </row>
    <row r="6" spans="1:14">
      <c r="A6" s="3" t="s">
        <v>57</v>
      </c>
      <c r="B6" s="6">
        <v>5</v>
      </c>
      <c r="D6" s="3" t="s">
        <v>209</v>
      </c>
      <c r="F6" s="3" t="s">
        <v>38</v>
      </c>
      <c r="J6" s="3" t="s">
        <v>86</v>
      </c>
      <c r="L6" s="3" t="s">
        <v>82</v>
      </c>
    </row>
    <row r="7" spans="1:14">
      <c r="A7" s="3" t="s">
        <v>58</v>
      </c>
      <c r="B7" s="6">
        <v>1</v>
      </c>
      <c r="D7" s="3" t="s">
        <v>12</v>
      </c>
      <c r="F7" s="3" t="s">
        <v>40</v>
      </c>
      <c r="L7" s="3" t="s">
        <v>210</v>
      </c>
    </row>
    <row r="8" spans="1:14">
      <c r="A8" s="3" t="s">
        <v>211</v>
      </c>
      <c r="B8" s="6">
        <v>10</v>
      </c>
      <c r="D8" s="3" t="s">
        <v>212</v>
      </c>
      <c r="F8" s="3" t="s">
        <v>42</v>
      </c>
    </row>
    <row r="9" spans="1:14">
      <c r="A9" s="3" t="s">
        <v>213</v>
      </c>
      <c r="B9" s="6">
        <v>15</v>
      </c>
    </row>
    <row r="10" spans="1:14">
      <c r="A10" s="3" t="s">
        <v>214</v>
      </c>
      <c r="B10" s="6">
        <v>20</v>
      </c>
    </row>
    <row r="11" spans="1:14">
      <c r="A11" s="3" t="s">
        <v>60</v>
      </c>
      <c r="B11" s="6">
        <v>1</v>
      </c>
    </row>
    <row r="12" spans="1:14">
      <c r="A12" s="3" t="s">
        <v>61</v>
      </c>
      <c r="B12" s="6">
        <v>1</v>
      </c>
    </row>
  </sheetData>
  <mergeCells count="1">
    <mergeCell ref="A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Summary</vt:lpstr>
      <vt:lpstr>Project Tracker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MacBook Pro</cp:lastModifiedBy>
  <dcterms:modified xsi:type="dcterms:W3CDTF">2026-08-03T08:15:47Z</dcterms:modified>
</cp:coreProperties>
</file>