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2"/>
  </bookViews>
  <sheets>
    <sheet name="Dashboard" sheetId="1" state="visible" r:id="rId3"/>
    <sheet name="Process Summary" sheetId="2" state="visible" r:id="rId4"/>
    <sheet name="Project Tracker" sheetId="3" state="visible" r:id="rId5"/>
    <sheet name="Settings" sheetId="4" state="hidden" r:id="rId6"/>
    <sheet name="Activity Log" sheetId="5" state="visible" r:id="rId7"/>
  </sheets>
  <definedNames>
    <definedName function="false" hidden="true" localSheetId="4" name="_xlnm._FilterDatabase" vbProcedure="false">'Activity Log'!$A$1:$M$2</definedName>
    <definedName function="false" hidden="true" localSheetId="1" name="_xlnm._FilterDatabase" vbProcedure="false">'Process Summary'!$A$1:$J$33</definedName>
    <definedName function="false" hidden="true" localSheetId="2" name="_xlnm._FilterDatabase" vbProcedure="false">'Project Tracker'!$A$1:$Y$211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<sst xmlns="http://schemas.openxmlformats.org/spreadsheetml/2006/main" count="1149" uniqueCount="170">
  <si>
    <t xml:space="preserve">RPA PROJECT DASHBOARD</t>
  </si>
  <si>
    <t xml:space="preserve">Status</t>
  </si>
  <si>
    <t xml:space="preserve">Count</t>
  </si>
  <si>
    <t xml:space="preserve">Completed</t>
  </si>
  <si>
    <t xml:space="preserve">In Progress</t>
  </si>
  <si>
    <t xml:space="preserve">TOTAL PROCESSES</t>
  </si>
  <si>
    <t xml:space="preserve">OVERALL PROGRESS</t>
  </si>
  <si>
    <t xml:space="preserve">COMPLETED</t>
  </si>
  <si>
    <t xml:space="preserve">DELAYED</t>
  </si>
  <si>
    <t xml:space="preserve">Not Started</t>
  </si>
  <si>
    <t xml:space="preserve">On Hold</t>
  </si>
  <si>
    <t xml:space="preserve">IN PROGRESS</t>
  </si>
  <si>
    <t xml:space="preserve">NOT STARTED</t>
  </si>
  <si>
    <t xml:space="preserve">ON HOLD</t>
  </si>
  <si>
    <t xml:space="preserve">AT RISK</t>
  </si>
  <si>
    <t xml:space="preserve">PHASE COMPLETION</t>
  </si>
  <si>
    <t xml:space="preserve">PROJECT HEALTH</t>
  </si>
  <si>
    <t xml:space="preserve">Phase</t>
  </si>
  <si>
    <t xml:space="preserve">Total</t>
  </si>
  <si>
    <t xml:space="preserve">Completion %</t>
  </si>
  <si>
    <t xml:space="preserve">Health</t>
  </si>
  <si>
    <t xml:space="preserve">% of Scope</t>
  </si>
  <si>
    <t xml:space="preserve">Assessment</t>
  </si>
  <si>
    <t xml:space="preserve">Green</t>
  </si>
  <si>
    <t xml:space="preserve">PDD Share</t>
  </si>
  <si>
    <t xml:space="preserve">Amber</t>
  </si>
  <si>
    <t xml:space="preserve">PDD Approval</t>
  </si>
  <si>
    <t xml:space="preserve">Red</t>
  </si>
  <si>
    <t xml:space="preserve">Development</t>
  </si>
  <si>
    <t xml:space="preserve">Gray</t>
  </si>
  <si>
    <t xml:space="preserve">UAT</t>
  </si>
  <si>
    <t xml:space="preserve">Go Live</t>
  </si>
  <si>
    <t xml:space="preserve">DEVELOPER WORKLOAD</t>
  </si>
  <si>
    <t xml:space="preserve">KEY DATES &amp; EXCEPTIONS</t>
  </si>
  <si>
    <t xml:space="preserve">Developer</t>
  </si>
  <si>
    <t xml:space="preserve">Assigned</t>
  </si>
  <si>
    <t xml:space="preserve">Active</t>
  </si>
  <si>
    <t xml:space="preserve">Earliest Start</t>
  </si>
  <si>
    <t xml:space="preserve">Developer 1</t>
  </si>
  <si>
    <t xml:space="preserve">Latest Finish</t>
  </si>
  <si>
    <t xml:space="preserve">Developer 2</t>
  </si>
  <si>
    <t xml:space="preserve">Overrides Used</t>
  </si>
  <si>
    <t xml:space="preserve">Developer 3</t>
  </si>
  <si>
    <t xml:space="preserve">Delayed Processes</t>
  </si>
  <si>
    <t xml:space="preserve">Developer 4</t>
  </si>
  <si>
    <t xml:space="preserve">RPA PROCESS SUMMARY</t>
  </si>
  <si>
    <t xml:space="preserve">Process</t>
  </si>
  <si>
    <t xml:space="preserve">Complexity ▼</t>
  </si>
  <si>
    <t xml:space="preserve">Developer ▼</t>
  </si>
  <si>
    <t xml:space="preserve">Auto Start</t>
  </si>
  <si>
    <t xml:space="preserve">Start Override▼</t>
  </si>
  <si>
    <t xml:space="preserve">Effective Start</t>
  </si>
  <si>
    <t xml:space="preserve">Finish</t>
  </si>
  <si>
    <t xml:space="preserve">Progress</t>
  </si>
  <si>
    <t xml:space="preserve">Low Process</t>
  </si>
  <si>
    <t xml:space="preserve">MEDIUM</t>
  </si>
  <si>
    <t xml:space="preserve">Expired contracts</t>
  </si>
  <si>
    <t xml:space="preserve">LOW</t>
  </si>
  <si>
    <t xml:space="preserve">FAR - Fixed Assets Report</t>
  </si>
  <si>
    <t xml:space="preserve">Asset Lifespan Report</t>
  </si>
  <si>
    <t xml:space="preserve">AP Invoices</t>
  </si>
  <si>
    <t xml:space="preserve">HIGH</t>
  </si>
  <si>
    <t xml:space="preserve">Banking Reconciliation</t>
  </si>
  <si>
    <t xml:space="preserve">Process </t>
  </si>
  <si>
    <t xml:space="preserve">Process / Phase</t>
  </si>
  <si>
    <t xml:space="preserve">Complexity</t>
  </si>
  <si>
    <t xml:space="preserve">Status ▼</t>
  </si>
  <si>
    <t xml:space="preserve">Start</t>
  </si>
  <si>
    <t xml:space="preserve">Actual Start▼</t>
  </si>
  <si>
    <t xml:space="preserve">Actual Finish▼</t>
  </si>
  <si>
    <t xml:space="preserve">Variance Days</t>
  </si>
  <si>
    <t xml:space="preserve">Responsibility</t>
  </si>
  <si>
    <t xml:space="preserve">Next Action </t>
  </si>
  <si>
    <t xml:space="preserve">Process ID</t>
  </si>
  <si>
    <t xml:space="preserve">Current Owner</t>
  </si>
  <si>
    <t xml:space="preserve">Waiting For</t>
  </si>
  <si>
    <t xml:space="preserve">Blocked</t>
  </si>
  <si>
    <t xml:space="preserve">Blocker Description</t>
  </si>
  <si>
    <t xml:space="preserve">Delay Reason</t>
  </si>
  <si>
    <t xml:space="preserve">Priority</t>
  </si>
  <si>
    <t xml:space="preserve">Department</t>
  </si>
  <si>
    <t xml:space="preserve">Business Owner</t>
  </si>
  <si>
    <t xml:space="preserve">Last Updated</t>
  </si>
  <si>
    <t xml:space="preserve">Updated By</t>
  </si>
  <si>
    <t xml:space="preserve">Medium Process</t>
  </si>
  <si>
    <t xml:space="preserve">Process Summary</t>
  </si>
  <si>
    <t xml:space="preserve">RPA-001</t>
  </si>
  <si>
    <t xml:space="preserve">No</t>
  </si>
  <si>
    <t xml:space="preserve">Medium</t>
  </si>
  <si>
    <t xml:space="preserve">Project Manager</t>
  </si>
  <si>
    <t xml:space="preserve">Business Analysis Team – Proven</t>
  </si>
  <si>
    <t xml:space="preserve">Process Owner – RAC</t>
  </si>
  <si>
    <t xml:space="preserve">Development Team – Proven</t>
  </si>
  <si>
    <t xml:space="preserve">Proven Development Team / RAC SME</t>
  </si>
  <si>
    <t xml:space="preserve">RPA-002</t>
  </si>
  <si>
    <t xml:space="preserve">RPA-003</t>
  </si>
  <si>
    <t xml:space="preserve">RPA-004</t>
  </si>
  <si>
    <t xml:space="preserve">High Process</t>
  </si>
  <si>
    <t xml:space="preserve">RPA-005</t>
  </si>
  <si>
    <t xml:space="preserve">RPA-006</t>
  </si>
  <si>
    <t xml:space="preserve">RPA-007</t>
  </si>
  <si>
    <t xml:space="preserve">RPA-008</t>
  </si>
  <si>
    <t xml:space="preserve">RPA-009</t>
  </si>
  <si>
    <t xml:space="preserve">RPA-010</t>
  </si>
  <si>
    <t xml:space="preserve">RPA-011</t>
  </si>
  <si>
    <t xml:space="preserve">RPA-012</t>
  </si>
  <si>
    <t xml:space="preserve">RPA-013</t>
  </si>
  <si>
    <t xml:space="preserve">RPA-014</t>
  </si>
  <si>
    <t xml:space="preserve">RPA-015</t>
  </si>
  <si>
    <t xml:space="preserve">RPA-016</t>
  </si>
  <si>
    <t xml:space="preserve">RPA-017</t>
  </si>
  <si>
    <t xml:space="preserve">RPA-018</t>
  </si>
  <si>
    <t xml:space="preserve">RPA-019</t>
  </si>
  <si>
    <t xml:space="preserve">RPA-020</t>
  </si>
  <si>
    <t xml:space="preserve">RPA-021</t>
  </si>
  <si>
    <t xml:space="preserve">RPA-022</t>
  </si>
  <si>
    <t xml:space="preserve">RPA-023</t>
  </si>
  <si>
    <t xml:space="preserve">RPA-024</t>
  </si>
  <si>
    <t xml:space="preserve">RPA-025</t>
  </si>
  <si>
    <t xml:space="preserve">RPA-026</t>
  </si>
  <si>
    <t xml:space="preserve">RPA-027</t>
  </si>
  <si>
    <t xml:space="preserve">RPA-028</t>
  </si>
  <si>
    <t xml:space="preserve">RPA-029</t>
  </si>
  <si>
    <t xml:space="preserve">RPA-030</t>
  </si>
  <si>
    <t xml:space="preserve">RPA SETTINGS</t>
  </si>
  <si>
    <t xml:space="preserve">Setting</t>
  </si>
  <si>
    <t xml:space="preserve">Value</t>
  </si>
  <si>
    <t xml:space="preserve">Statuses</t>
  </si>
  <si>
    <t xml:space="preserve">Developers</t>
  </si>
  <si>
    <t xml:space="preserve">Departments</t>
  </si>
  <si>
    <t xml:space="preserve">Project Start</t>
  </si>
  <si>
    <t xml:space="preserve">Yes</t>
  </si>
  <si>
    <t xml:space="preserve">Critical</t>
  </si>
  <si>
    <t xml:space="preserve">RAC Process Owner</t>
  </si>
  <si>
    <t xml:space="preserve">Assessment Days</t>
  </si>
  <si>
    <t xml:space="preserve">High</t>
  </si>
  <si>
    <t xml:space="preserve">RAC SME</t>
  </si>
  <si>
    <t xml:space="preserve">Department TBD</t>
  </si>
  <si>
    <t xml:space="preserve">PDD Share Days</t>
  </si>
  <si>
    <t xml:space="preserve">Proven BA Team</t>
  </si>
  <si>
    <t xml:space="preserve">Finance</t>
  </si>
  <si>
    <t xml:space="preserve">PDD Approve Days</t>
  </si>
  <si>
    <t xml:space="preserve">Low</t>
  </si>
  <si>
    <t xml:space="preserve">Proven Development Team</t>
  </si>
  <si>
    <t xml:space="preserve">Operations</t>
  </si>
  <si>
    <t xml:space="preserve">Development LOW</t>
  </si>
  <si>
    <t xml:space="preserve">Cancelled</t>
  </si>
  <si>
    <t xml:space="preserve">Infrastructure Team</t>
  </si>
  <si>
    <t xml:space="preserve">IT</t>
  </si>
  <si>
    <t xml:space="preserve">Development MEDIUM</t>
  </si>
  <si>
    <t xml:space="preserve">Cybersecurity Team</t>
  </si>
  <si>
    <t xml:space="preserve">HR</t>
  </si>
  <si>
    <t xml:space="preserve">Development HIGH</t>
  </si>
  <si>
    <t xml:space="preserve">Business Team</t>
  </si>
  <si>
    <t xml:space="preserve">Procurement</t>
  </si>
  <si>
    <t xml:space="preserve">UAT Days</t>
  </si>
  <si>
    <t xml:space="preserve">Go Live Days</t>
  </si>
  <si>
    <t xml:space="preserve">Activity ID</t>
  </si>
  <si>
    <t xml:space="preserve">Process Name</t>
  </si>
  <si>
    <t xml:space="preserve">Update Date</t>
  </si>
  <si>
    <t xml:space="preserve">Previous Status</t>
  </si>
  <si>
    <t xml:space="preserve">New Status</t>
  </si>
  <si>
    <t xml:space="preserve">Update Description</t>
  </si>
  <si>
    <t xml:space="preserve">Next Action</t>
  </si>
  <si>
    <t xml:space="preserve">Blocker</t>
  </si>
  <si>
    <t xml:space="preserve">Due Date</t>
  </si>
  <si>
    <t xml:space="preserve">EXAMPLE-DELETE</t>
  </si>
  <si>
    <t xml:space="preserve">Example process</t>
  </si>
  <si>
    <t xml:space="preserve">Example row only - delete before using the log.</t>
  </si>
  <si>
    <t xml:space="preserve">Confirm next action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</si>
</sst>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%"/>
    <numFmt numFmtId="167" formatCode="mm/dd/yyyy"/>
    <numFmt numFmtId="168" formatCode="dd\-mmm\-yyyy\ hh:mm"/>
    <numFmt numFmtId="169" formatCode="dd\-mmm\-yyyy"/>
  </numFmts>
  <fonts count="2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Calibri"/>
      <family val="0"/>
      <charset val="1"/>
    </font>
    <font>
      <sz val="1"/>
      <color rgb="FFF6F8FB"/>
      <name val="Calibri"/>
      <family val="0"/>
      <charset val="1"/>
    </font>
    <font>
      <i val="true"/>
      <sz val="9"/>
      <color rgb="FF667085"/>
      <name val="Calibri"/>
      <family val="0"/>
      <charset val="1"/>
    </font>
    <font>
      <b val="true"/>
      <sz val="10"/>
      <color rgb="FF667085"/>
      <name val="Calibri"/>
      <family val="0"/>
      <charset val="1"/>
    </font>
    <font>
      <b val="true"/>
      <sz val="25"/>
      <color rgb="FF2563EB"/>
      <name val="Calibri"/>
      <family val="0"/>
      <charset val="1"/>
    </font>
    <font>
      <b val="true"/>
      <sz val="25"/>
      <color rgb="FF2E8B57"/>
      <name val="Calibri"/>
      <family val="0"/>
      <charset val="1"/>
    </font>
    <font>
      <b val="true"/>
      <sz val="25"/>
      <color rgb="FFC00000"/>
      <name val="Calibri"/>
      <family val="0"/>
      <charset val="1"/>
    </font>
    <font>
      <b val="true"/>
      <sz val="25"/>
      <color rgb="FFD97706"/>
      <name val="Calibri"/>
      <family val="0"/>
      <charset val="1"/>
    </font>
    <font>
      <b val="true"/>
      <sz val="25"/>
      <color rgb="FF595959"/>
      <name val="Calibri"/>
      <family val="0"/>
      <charset val="1"/>
    </font>
    <font>
      <b val="true"/>
      <sz val="25"/>
      <color rgb="FFA61B1B"/>
      <name val="Calibri"/>
      <family val="0"/>
      <charset val="1"/>
    </font>
    <font>
      <b val="true"/>
      <sz val="25"/>
      <color rgb="FFB7791F"/>
      <name val="Calibri"/>
      <family val="0"/>
      <charset val="1"/>
    </font>
    <font>
      <b val="true"/>
      <sz val="13"/>
      <color rgb="FF17365D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2E8B57"/>
      <name val="Calibri"/>
      <family val="0"/>
      <charset val="1"/>
    </font>
    <font>
      <b val="true"/>
      <sz val="11"/>
      <color rgb="FFD4A017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b val="true"/>
      <sz val="11"/>
      <color rgb="FF7F7F7F"/>
      <name val="Calibri"/>
      <family val="0"/>
      <charset val="1"/>
    </font>
    <font>
      <b val="true"/>
      <sz val="11"/>
      <color rgb="FF475467"/>
      <name val="Calibri"/>
      <family val="0"/>
      <charset val="1"/>
    </font>
    <font>
      <b val="true"/>
      <sz val="11"/>
      <color rgb="FF17365D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sz val="11"/>
      <color rgb="FF666666"/>
      <name val="Calibri"/>
      <family val="0"/>
      <charset val="1"/>
    </font>
    <font>
      <b val="true"/>
      <sz val="11"/>
      <color rgb="FF9C6500"/>
      <name val="Calibri"/>
      <family val="0"/>
      <charset val="1"/>
    </font>
    <font>
      <b val="true"/>
      <sz val="16"/>
      <color rgb="FFFFFFFF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65D"/>
        <bgColor rgb="FF003300"/>
      </patternFill>
    </fill>
    <fill>
      <patternFill patternType="solid">
        <fgColor rgb="FFF6F8FB"/>
        <bgColor rgb="FFF8FBFE"/>
      </patternFill>
    </fill>
    <fill>
      <patternFill patternType="solid">
        <fgColor rgb="FFFFFFFF"/>
        <bgColor rgb="FFF8FBFE"/>
      </patternFill>
    </fill>
    <fill>
      <patternFill patternType="solid">
        <fgColor rgb="FFEAF2F8"/>
        <bgColor rgb="FFEAECF0"/>
      </patternFill>
    </fill>
    <fill>
      <patternFill patternType="solid">
        <fgColor rgb="FF5B9BD5"/>
        <bgColor rgb="FF46B1E1"/>
      </patternFill>
    </fill>
    <fill>
      <patternFill patternType="solid">
        <fgColor rgb="FFE7E6E6"/>
        <bgColor rgb="FFEAECF0"/>
      </patternFill>
    </fill>
    <fill>
      <patternFill patternType="solid">
        <fgColor rgb="FFD9EAF7"/>
        <bgColor rgb="FFEAECF0"/>
      </patternFill>
    </fill>
    <fill>
      <patternFill patternType="solid">
        <fgColor rgb="FFF8FBFE"/>
        <bgColor rgb="FFF6F8FB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563EB"/>
      </top>
      <bottom/>
      <diagonal/>
    </border>
    <border diagonalUp="false" diagonalDown="false">
      <left/>
      <right/>
      <top style="medium">
        <color rgb="FF2E8B57"/>
      </top>
      <bottom/>
      <diagonal/>
    </border>
    <border diagonalUp="false" diagonalDown="false">
      <left/>
      <right/>
      <top style="medium">
        <color rgb="FFC00000"/>
      </top>
      <bottom/>
      <diagonal/>
    </border>
    <border diagonalUp="false" diagonalDown="false">
      <left style="thin">
        <color rgb="FFEAECF0"/>
      </left>
      <right style="thin">
        <color rgb="FFEAECF0"/>
      </right>
      <top/>
      <bottom style="thin">
        <color rgb="FFD0D5DD"/>
      </bottom>
      <diagonal/>
    </border>
    <border diagonalUp="false" diagonalDown="false">
      <left/>
      <right/>
      <top style="medium">
        <color rgb="FFD97706"/>
      </top>
      <bottom/>
      <diagonal/>
    </border>
    <border diagonalUp="false" diagonalDown="false">
      <left/>
      <right/>
      <top style="medium">
        <color rgb="FF595959"/>
      </top>
      <bottom/>
      <diagonal/>
    </border>
    <border diagonalUp="false" diagonalDown="false">
      <left/>
      <right/>
      <top style="medium">
        <color rgb="FFA61B1B"/>
      </top>
      <bottom/>
      <diagonal/>
    </border>
    <border diagonalUp="false" diagonalDown="false">
      <left/>
      <right/>
      <top style="medium">
        <color rgb="FFB7791F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7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9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9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8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2">
    <dxf>
      <fill>
        <patternFill patternType="solid">
          <fgColor rgb="FF17365D"/>
          <bgColor rgb="FF000000"/>
        </patternFill>
      </fill>
    </dxf>
    <dxf>
      <fill>
        <patternFill patternType="solid">
          <fgColor rgb="FF5B9BD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b val="1"/>
        <color rgb="FF375623"/>
      </font>
      <fill>
        <patternFill>
          <bgColor rgb="FFC6E0B4"/>
        </patternFill>
      </fill>
    </dxf>
    <dxf>
      <font>
        <b val="1"/>
        <color rgb="FF7F6000"/>
      </font>
      <fill>
        <patternFill>
          <bgColor rgb="FFFFE699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595959"/>
      </font>
      <fill>
        <patternFill>
          <bgColor rgb="FFD9D9D9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F8FBFE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F4CCCC"/>
        </patternFill>
      </fill>
    </dxf>
    <dxf>
      <fill>
        <patternFill>
          <bgColor rgb="FFF8696B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9EAD3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25" type="wholeTable"/>
      <tableStyleElement dxfId="26" type="firstColumnStripe"/>
      <tableStyleElement dxfId="27" type="firstRowStripe"/>
      <tableStyleElement dxfId="28" type="lastColumn"/>
      <tableStyleElement dxfId="29" type="firstColumn"/>
      <tableStyleElement dxfId="30" type="headerRow"/>
      <tableStyleElement dxfId="31" type="totalRow"/>
    </tableStyle>
  </tableStyles>
  <colors>
    <indexedColors>
      <rgbColor rgb="FF000000"/>
      <rgbColor rgb="FFFFFFFF"/>
      <rgbColor rgb="FFC00000"/>
      <rgbColor rgb="FF00FF00"/>
      <rgbColor rgb="FF0000FF"/>
      <rgbColor rgb="FFEAECF0"/>
      <rgbColor rgb="FFFF00FF"/>
      <rgbColor rgb="FF00FFFF"/>
      <rgbColor rgb="FF9C0006"/>
      <rgbColor rgb="FF008000"/>
      <rgbColor rgb="FF000080"/>
      <rgbColor rgb="FF7F6000"/>
      <rgbColor rgb="FF800080"/>
      <rgbColor rgb="FF156082"/>
      <rgbColor rgb="FFD9D9D9"/>
      <rgbColor rgb="FF7F7F7F"/>
      <rgbColor rgb="FF5B9BD5"/>
      <rgbColor rgb="FF595959"/>
      <rgbColor rgb="FFFFF2CC"/>
      <rgbColor rgb="FFD9EAF7"/>
      <rgbColor rgb="FF660066"/>
      <rgbColor rgb="FFF8696B"/>
      <rgbColor rgb="FF0066CC"/>
      <rgbColor rgb="FFD0D5DD"/>
      <rgbColor rgb="FF000080"/>
      <rgbColor rgb="FFFF00FF"/>
      <rgbColor rgb="FFF6F8FB"/>
      <rgbColor rgb="FF00FFFF"/>
      <rgbColor rgb="FF800080"/>
      <rgbColor rgb="FF800000"/>
      <rgbColor rgb="FF008080"/>
      <rgbColor rgb="FF0000FF"/>
      <rgbColor rgb="FF00CCFF"/>
      <rgbColor rgb="FFEAF2F8"/>
      <rgbColor rgb="FFD9EAD3"/>
      <rgbColor rgb="FFFFE699"/>
      <rgbColor rgb="FFC6E0B4"/>
      <rgbColor rgb="FFFCE4D6"/>
      <rgbColor rgb="FFE7E6E6"/>
      <rgbColor rgb="FFF4CCCC"/>
      <rgbColor rgb="FF2563EB"/>
      <rgbColor rgb="FF46B1E1"/>
      <rgbColor rgb="FFB7791F"/>
      <rgbColor rgb="FFF8FBFE"/>
      <rgbColor rgb="FFD4A017"/>
      <rgbColor rgb="FFD97706"/>
      <rgbColor rgb="FF667085"/>
      <rgbColor rgb="FF666666"/>
      <rgbColor rgb="FF17365D"/>
      <rgbColor rgb="FF2E8B57"/>
      <rgbColor rgb="FF003300"/>
      <rgbColor rgb="FF333300"/>
      <rgbColor rgb="FFA61B1B"/>
      <rgbColor rgb="FF9C6500"/>
      <rgbColor rgb="FF475467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ctivityLogTable" displayName="ActivityLogTable" ref="A1:M2" headerRowCount="1" totalsRowCount="0" totalsRowShown="0">
  <autoFilter ref="A1:M2"/>
  <tableColumns count="13">
    <tableColumn id="1" name="Activity ID"/>
    <tableColumn id="2" name="Process ID"/>
    <tableColumn id="3" name="Process Name"/>
    <tableColumn id="4" name="Phase"/>
    <tableColumn id="5" name="Update Date"/>
    <tableColumn id="6" name="Updated By"/>
    <tableColumn id="7" name="Previous Status"/>
    <tableColumn id="8" name="New Status"/>
    <tableColumn id="9" name="Update Description"/>
    <tableColumn id="10" name="Next Action"/>
    <tableColumn id="11" name="Waiting For"/>
    <tableColumn id="12" name="Blocker"/>
    <tableColumn id="13" name="Due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"/>
  <sheetViews>
    <sheetView showFormulas="false" showGridLines="true" showRowColHeaders="true" showZeros="true" rightToLeft="false" tabSelected="false" showOutlineSymbols="true" defaultGridColor="true" view="normal" topLeftCell="A1" colorId="64" zoomScale="138" zoomScaleNormal="138" zoomScalePageLayoutView="100" workbookViewId="0">
      <selection pane="topLeft" activeCell="A27" activeCellId="0" sqref="A27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8"/>
    <col collapsed="false" customWidth="true" hidden="false" outlineLevel="0" max="9" min="8" style="0" width="13"/>
    <col collapsed="false" customWidth="true" hidden="false" outlineLevel="0" max="12" min="10" style="0" width="14"/>
    <col collapsed="false" customWidth="true" hidden="false" outlineLevel="0" max="15" min="14" style="0" width="2"/>
  </cols>
  <sheetData>
    <row r="1" customFormat="false" ht="14.2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2"/>
      <c r="O1" s="2"/>
    </row>
    <row r="2" customFormat="false" ht="14.25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N2" s="2" t="s">
        <v>1</v>
      </c>
      <c r="O2" s="2" t="s">
        <v>2</v>
      </c>
    </row>
    <row r="3" customFormat="false" ht="14.25" hidden="false" customHeight="true" outlineLevel="0" collapsed="false">
      <c r="A3" s="3" t="str">
        <f aca="true">"Updated: "&amp;TEXT(TODAY(),"dd/mm/yyyy")</f>
        <v>Updated: 30/07/2026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N3" s="2" t="s">
        <v>3</v>
      </c>
      <c r="O3" s="2" t="n">
        <f aca="false">COUNTIF('Process Summary'!D4:D33,"Completed")</f>
        <v>0</v>
      </c>
    </row>
    <row r="4" customFormat="false" ht="14.25" hidden="false" customHeight="tru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N4" s="2" t="s">
        <v>4</v>
      </c>
      <c r="O4" s="2" t="n">
        <f aca="false">COUNTIF('Process Summary'!D4:D33,"In Progress")</f>
        <v>0</v>
      </c>
    </row>
    <row r="5" customFormat="false" ht="14.25" hidden="false" customHeight="true" outlineLevel="0" collapsed="false">
      <c r="A5" s="5" t="s">
        <v>5</v>
      </c>
      <c r="B5" s="5"/>
      <c r="C5" s="5"/>
      <c r="D5" s="5" t="s">
        <v>6</v>
      </c>
      <c r="E5" s="5"/>
      <c r="F5" s="5"/>
      <c r="G5" s="6" t="s">
        <v>7</v>
      </c>
      <c r="H5" s="6"/>
      <c r="I5" s="6"/>
      <c r="J5" s="7" t="s">
        <v>8</v>
      </c>
      <c r="K5" s="7"/>
      <c r="L5" s="7"/>
      <c r="N5" s="2" t="s">
        <v>9</v>
      </c>
      <c r="O5" s="2" t="n">
        <f aca="false">COUNTIF('Process Summary'!D4:D33,"Not Started")</f>
        <v>30</v>
      </c>
    </row>
    <row r="6" customFormat="false" ht="14.25" hidden="false" customHeight="true" outlineLevel="0" collapsed="false">
      <c r="A6" s="8" t="n">
        <f aca="false">COUNTA('Process Summary'!A4:A33)</f>
        <v>30</v>
      </c>
      <c r="B6" s="8"/>
      <c r="C6" s="8"/>
      <c r="D6" s="9" t="n">
        <f aca="false">AVERAGE('Process Summary'!I4:I33)</f>
        <v>0</v>
      </c>
      <c r="E6" s="9"/>
      <c r="F6" s="9"/>
      <c r="G6" s="10" t="n">
        <f aca="false">COUNTIF('Process Summary'!D4:D33,"Completed")</f>
        <v>0</v>
      </c>
      <c r="H6" s="10"/>
      <c r="I6" s="10"/>
      <c r="J6" s="11" t="n">
        <f aca="false">COUNTIF('Process Summary'!J4:J33,"Red")</f>
        <v>4</v>
      </c>
      <c r="K6" s="11"/>
      <c r="L6" s="11"/>
      <c r="N6" s="2" t="s">
        <v>10</v>
      </c>
      <c r="O6" s="2" t="n">
        <f aca="false">COUNTIF('Process Summary'!D4:D33,"On Hold")</f>
        <v>0</v>
      </c>
    </row>
    <row r="7" customFormat="false" ht="14.25" hidden="false" customHeight="true" outlineLevel="0" collapsed="false">
      <c r="A7" s="8"/>
      <c r="B7" s="8"/>
      <c r="C7" s="8"/>
      <c r="D7" s="9"/>
      <c r="E7" s="9"/>
      <c r="F7" s="9"/>
      <c r="G7" s="10"/>
      <c r="H7" s="10"/>
      <c r="I7" s="10"/>
      <c r="J7" s="11"/>
      <c r="K7" s="11"/>
      <c r="L7" s="11"/>
      <c r="N7" s="2"/>
      <c r="O7" s="2"/>
    </row>
    <row r="8" customFormat="false" ht="14.25" hidden="false" customHeight="true" outlineLevel="0" collapsed="false">
      <c r="A8" s="8"/>
      <c r="B8" s="8"/>
      <c r="C8" s="8"/>
      <c r="D8" s="9"/>
      <c r="E8" s="9"/>
      <c r="F8" s="9"/>
      <c r="G8" s="10"/>
      <c r="H8" s="10"/>
      <c r="I8" s="10"/>
      <c r="J8" s="11"/>
      <c r="K8" s="11"/>
      <c r="L8" s="11"/>
      <c r="N8" s="2"/>
      <c r="O8" s="2"/>
    </row>
    <row r="9" customFormat="false" ht="14.25" hidden="false" customHeight="true" outlineLevel="0" collapsed="false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N9" s="2"/>
      <c r="O9" s="2"/>
    </row>
    <row r="10" customFormat="false" ht="14.25" hidden="false" customHeight="true" outlineLevel="0" collapsed="false">
      <c r="A10" s="12" t="s">
        <v>11</v>
      </c>
      <c r="B10" s="12"/>
      <c r="C10" s="12"/>
      <c r="D10" s="13" t="s">
        <v>12</v>
      </c>
      <c r="E10" s="13"/>
      <c r="F10" s="13"/>
      <c r="G10" s="14" t="s">
        <v>13</v>
      </c>
      <c r="H10" s="14"/>
      <c r="I10" s="14"/>
      <c r="J10" s="15" t="s">
        <v>14</v>
      </c>
      <c r="K10" s="15"/>
      <c r="L10" s="15"/>
      <c r="N10" s="2"/>
      <c r="O10" s="2"/>
    </row>
    <row r="11" customFormat="false" ht="14.25" hidden="false" customHeight="true" outlineLevel="0" collapsed="false">
      <c r="A11" s="16" t="n">
        <f aca="false">COUNTIF('Process Summary'!D4:D33,"In Progress")</f>
        <v>0</v>
      </c>
      <c r="B11" s="16"/>
      <c r="C11" s="16"/>
      <c r="D11" s="17" t="n">
        <f aca="false">COUNTIF('Process Summary'!D4:D33,"Not Started")</f>
        <v>30</v>
      </c>
      <c r="E11" s="17"/>
      <c r="F11" s="17"/>
      <c r="G11" s="18" t="n">
        <f aca="false">COUNTIF('Process Summary'!D4:D33,"On Hold")</f>
        <v>0</v>
      </c>
      <c r="H11" s="18"/>
      <c r="I11" s="18"/>
      <c r="J11" s="19" t="n">
        <f aca="false">COUNTIF('Process Summary'!J4:J33,"Amber")</f>
        <v>0</v>
      </c>
      <c r="K11" s="19"/>
      <c r="L11" s="19"/>
    </row>
    <row r="12" customFormat="false" ht="14.25" hidden="false" customHeight="true" outlineLevel="0" collapsed="false">
      <c r="A12" s="16"/>
      <c r="B12" s="16"/>
      <c r="C12" s="16"/>
      <c r="D12" s="17"/>
      <c r="E12" s="17"/>
      <c r="F12" s="17"/>
      <c r="G12" s="18"/>
      <c r="H12" s="18"/>
      <c r="I12" s="18"/>
      <c r="J12" s="19"/>
      <c r="K12" s="19"/>
      <c r="L12" s="19"/>
    </row>
    <row r="13" customFormat="false" ht="14.25" hidden="false" customHeight="true" outlineLevel="0" collapsed="false">
      <c r="A13" s="16"/>
      <c r="B13" s="16"/>
      <c r="C13" s="16"/>
      <c r="D13" s="17"/>
      <c r="E13" s="17"/>
      <c r="F13" s="17"/>
      <c r="G13" s="18"/>
      <c r="H13" s="18"/>
      <c r="I13" s="18"/>
      <c r="J13" s="19"/>
      <c r="K13" s="19"/>
      <c r="L13" s="19"/>
    </row>
    <row r="14" customFormat="false" ht="14.25" hidden="false" customHeight="tru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customFormat="false" ht="14.25" hidden="false" customHeight="true" outlineLevel="0" collapsed="false">
      <c r="A15" s="20" t="s">
        <v>15</v>
      </c>
      <c r="B15" s="20"/>
      <c r="C15" s="20"/>
      <c r="D15" s="20"/>
      <c r="E15" s="20"/>
      <c r="F15" s="20"/>
      <c r="G15" s="20" t="s">
        <v>16</v>
      </c>
      <c r="H15" s="20"/>
      <c r="I15" s="20"/>
      <c r="J15" s="20"/>
      <c r="K15" s="20"/>
      <c r="L15" s="20"/>
    </row>
    <row r="16" customFormat="false" ht="14.25" hidden="false" customHeight="true" outlineLevel="0" collapsed="false">
      <c r="A16" s="21" t="s">
        <v>17</v>
      </c>
      <c r="B16" s="21" t="s">
        <v>3</v>
      </c>
      <c r="C16" s="21" t="s">
        <v>18</v>
      </c>
      <c r="D16" s="21" t="s">
        <v>19</v>
      </c>
      <c r="E16" s="4"/>
      <c r="F16" s="4"/>
      <c r="G16" s="21" t="s">
        <v>20</v>
      </c>
      <c r="H16" s="21" t="s">
        <v>2</v>
      </c>
      <c r="I16" s="21" t="s">
        <v>21</v>
      </c>
      <c r="J16" s="4"/>
      <c r="K16" s="4"/>
      <c r="L16" s="4"/>
    </row>
    <row r="17" customFormat="false" ht="14.25" hidden="false" customHeight="true" outlineLevel="0" collapsed="false">
      <c r="A17" s="4" t="s">
        <v>22</v>
      </c>
      <c r="B17" s="4" t="n">
        <f aca="false">COUNTIFS('Project Tracker'!$B$2:$B$211,"Assessment",'Project Tracker'!$E$2:$E$211,"Completed")</f>
        <v>0</v>
      </c>
      <c r="C17" s="4" t="n">
        <v>30</v>
      </c>
      <c r="D17" s="22" t="n">
        <f aca="false">B17/C17</f>
        <v>0</v>
      </c>
      <c r="E17" s="4"/>
      <c r="F17" s="4"/>
      <c r="G17" s="23" t="s">
        <v>23</v>
      </c>
      <c r="H17" s="4" t="n">
        <f aca="false">COUNTIF('Process Summary'!J4:J33,"Green")</f>
        <v>26</v>
      </c>
      <c r="I17" s="22" t="n">
        <f aca="false">H17/30</f>
        <v>0.866666666666667</v>
      </c>
      <c r="J17" s="4"/>
      <c r="K17" s="4"/>
      <c r="L17" s="4"/>
    </row>
    <row r="18" customFormat="false" ht="14.25" hidden="false" customHeight="true" outlineLevel="0" collapsed="false">
      <c r="A18" s="4" t="s">
        <v>24</v>
      </c>
      <c r="B18" s="4" t="n">
        <f aca="false">COUNTIFS('Project Tracker'!$B$2:$B$211,"PDD Share",'Project Tracker'!$E$2:$E$211,"Completed")</f>
        <v>0</v>
      </c>
      <c r="C18" s="4" t="n">
        <v>30</v>
      </c>
      <c r="D18" s="22" t="n">
        <f aca="false">B18/C18</f>
        <v>0</v>
      </c>
      <c r="E18" s="4"/>
      <c r="F18" s="4"/>
      <c r="G18" s="24" t="s">
        <v>25</v>
      </c>
      <c r="H18" s="4" t="n">
        <f aca="false">COUNTIF('Process Summary'!J4:J33,"Amber")</f>
        <v>0</v>
      </c>
      <c r="I18" s="22" t="n">
        <f aca="false">H18/30</f>
        <v>0</v>
      </c>
      <c r="J18" s="4"/>
      <c r="K18" s="4"/>
      <c r="L18" s="4"/>
    </row>
    <row r="19" customFormat="false" ht="14.25" hidden="false" customHeight="true" outlineLevel="0" collapsed="false">
      <c r="A19" s="4" t="s">
        <v>26</v>
      </c>
      <c r="B19" s="4" t="n">
        <f aca="false">COUNTIFS('Project Tracker'!$B$2:$B$211,"PDD Approval",'Project Tracker'!$E$2:$E$211,"Completed")</f>
        <v>0</v>
      </c>
      <c r="C19" s="4" t="n">
        <v>30</v>
      </c>
      <c r="D19" s="22" t="n">
        <f aca="false">B19/C19</f>
        <v>0</v>
      </c>
      <c r="E19" s="4"/>
      <c r="F19" s="4"/>
      <c r="G19" s="25" t="s">
        <v>27</v>
      </c>
      <c r="H19" s="4" t="n">
        <f aca="false">COUNTIF('Process Summary'!J4:J33,"Red")</f>
        <v>4</v>
      </c>
      <c r="I19" s="22" t="n">
        <f aca="false">H19/30</f>
        <v>0.133333333333333</v>
      </c>
      <c r="J19" s="4"/>
      <c r="K19" s="4"/>
      <c r="L19" s="4"/>
    </row>
    <row r="20" customFormat="false" ht="14.25" hidden="false" customHeight="true" outlineLevel="0" collapsed="false">
      <c r="A20" s="4" t="s">
        <v>28</v>
      </c>
      <c r="B20" s="4" t="n">
        <f aca="false">COUNTIFS('Project Tracker'!$B$2:$B$211,"Development",'Project Tracker'!$E$2:$E$211,"Completed")</f>
        <v>0</v>
      </c>
      <c r="C20" s="4" t="n">
        <v>30</v>
      </c>
      <c r="D20" s="22" t="n">
        <f aca="false">B20/C20</f>
        <v>0</v>
      </c>
      <c r="E20" s="4"/>
      <c r="F20" s="4"/>
      <c r="G20" s="26" t="s">
        <v>29</v>
      </c>
      <c r="H20" s="4" t="n">
        <f aca="false">COUNTIF('Process Summary'!J4:J33,"Gray")</f>
        <v>0</v>
      </c>
      <c r="I20" s="22" t="n">
        <f aca="false">H20/30</f>
        <v>0</v>
      </c>
      <c r="J20" s="4"/>
      <c r="K20" s="4"/>
      <c r="L20" s="4"/>
    </row>
    <row r="21" customFormat="false" ht="14.25" hidden="false" customHeight="true" outlineLevel="0" collapsed="false">
      <c r="A21" s="4" t="s">
        <v>30</v>
      </c>
      <c r="B21" s="4" t="n">
        <f aca="false">COUNTIFS('Project Tracker'!$B$2:$B$211,"UAT",'Project Tracker'!$E$2:$E$211,"Completed")</f>
        <v>0</v>
      </c>
      <c r="C21" s="4" t="n">
        <v>30</v>
      </c>
      <c r="D21" s="22" t="n">
        <f aca="false">B21/C21</f>
        <v>0</v>
      </c>
      <c r="E21" s="4"/>
      <c r="F21" s="4"/>
      <c r="G21" s="4"/>
      <c r="H21" s="4"/>
      <c r="I21" s="4"/>
      <c r="J21" s="4"/>
      <c r="K21" s="4"/>
      <c r="L21" s="4"/>
    </row>
    <row r="22" customFormat="false" ht="14.25" hidden="false" customHeight="true" outlineLevel="0" collapsed="false">
      <c r="A22" s="4" t="s">
        <v>31</v>
      </c>
      <c r="B22" s="4" t="n">
        <f aca="false">COUNTIFS('Project Tracker'!$B$2:$B$211,"Go Live",'Project Tracker'!$E$2:$E$211,"Completed")</f>
        <v>0</v>
      </c>
      <c r="C22" s="4" t="n">
        <v>30</v>
      </c>
      <c r="D22" s="22" t="n">
        <f aca="false">B22/C22</f>
        <v>0</v>
      </c>
      <c r="E22" s="4"/>
      <c r="F22" s="4"/>
      <c r="G22" s="4"/>
      <c r="H22" s="4"/>
      <c r="I22" s="4"/>
      <c r="J22" s="4"/>
      <c r="K22" s="4"/>
      <c r="L22" s="4"/>
    </row>
    <row r="23" customFormat="false" ht="14.25" hidden="false" customHeight="tru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customFormat="false" ht="14.25" hidden="false" customHeight="tru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customFormat="false" ht="14.25" hidden="false" customHeight="true" outlineLevel="0" collapsed="false">
      <c r="A25" s="20" t="s">
        <v>32</v>
      </c>
      <c r="B25" s="20"/>
      <c r="C25" s="20"/>
      <c r="D25" s="20"/>
      <c r="E25" s="20"/>
      <c r="F25" s="20"/>
      <c r="G25" s="20" t="s">
        <v>33</v>
      </c>
      <c r="H25" s="20"/>
      <c r="I25" s="20"/>
      <c r="J25" s="20"/>
      <c r="K25" s="20"/>
      <c r="L25" s="20"/>
    </row>
    <row r="26" customFormat="false" ht="14.25" hidden="false" customHeight="true" outlineLevel="0" collapsed="false">
      <c r="A26" s="21" t="s">
        <v>34</v>
      </c>
      <c r="B26" s="21" t="s">
        <v>35</v>
      </c>
      <c r="C26" s="21" t="s">
        <v>36</v>
      </c>
      <c r="D26" s="4"/>
      <c r="E26" s="4"/>
      <c r="F26" s="4"/>
      <c r="G26" s="27" t="s">
        <v>37</v>
      </c>
      <c r="H26" s="28" t="n">
        <f aca="false">MIN('Process Summary'!G4:G33)</f>
        <v>46187</v>
      </c>
      <c r="I26" s="4"/>
      <c r="J26" s="4"/>
      <c r="K26" s="4"/>
      <c r="L26" s="4"/>
    </row>
    <row r="27" customFormat="false" ht="14.25" hidden="false" customHeight="true" outlineLevel="0" collapsed="false">
      <c r="A27" s="4" t="s">
        <v>38</v>
      </c>
      <c r="B27" s="4" t="n">
        <f aca="false">COUNTIF('Process Summary'!C4:C33,"Developer 1")</f>
        <v>7</v>
      </c>
      <c r="C27" s="4" t="n">
        <f aca="false">COUNTIFS('Process Summary'!C4:C33,"Developer 1",'Process Summary'!D4:D33,"&lt;&gt;Completed")</f>
        <v>7</v>
      </c>
      <c r="D27" s="4"/>
      <c r="E27" s="4"/>
      <c r="F27" s="4"/>
      <c r="G27" s="27" t="s">
        <v>39</v>
      </c>
      <c r="H27" s="28" t="n">
        <f aca="false">MAX('Process Summary'!H4:H33)</f>
        <v>46481</v>
      </c>
      <c r="I27" s="4"/>
      <c r="J27" s="4"/>
      <c r="K27" s="4"/>
      <c r="L27" s="4"/>
    </row>
    <row r="28" customFormat="false" ht="14.25" hidden="false" customHeight="true" outlineLevel="0" collapsed="false">
      <c r="A28" s="4" t="s">
        <v>40</v>
      </c>
      <c r="B28" s="4" t="n">
        <f aca="false">COUNTIF('Process Summary'!C4:C33,"Developer 2")</f>
        <v>8</v>
      </c>
      <c r="C28" s="4" t="n">
        <f aca="false">COUNTIFS('Process Summary'!C4:C33,"Developer 2",'Process Summary'!D4:D33,"&lt;&gt;Completed")</f>
        <v>8</v>
      </c>
      <c r="D28" s="4"/>
      <c r="E28" s="4"/>
      <c r="F28" s="4"/>
      <c r="G28" s="27" t="s">
        <v>41</v>
      </c>
      <c r="H28" s="29" t="n">
        <f aca="false">COUNTIF('Process Summary'!F4:F33,"&gt;0")</f>
        <v>0</v>
      </c>
      <c r="I28" s="4"/>
      <c r="J28" s="4"/>
      <c r="K28" s="4"/>
      <c r="L28" s="4"/>
    </row>
    <row r="29" customFormat="false" ht="14.25" hidden="false" customHeight="true" outlineLevel="0" collapsed="false">
      <c r="A29" s="4" t="s">
        <v>42</v>
      </c>
      <c r="B29" s="4" t="n">
        <f aca="false">COUNTIF('Process Summary'!C4:C33,"Developer 3")</f>
        <v>8</v>
      </c>
      <c r="C29" s="4" t="n">
        <f aca="false">COUNTIFS('Process Summary'!C4:C33,"Developer 3",'Process Summary'!D4:D33,"&lt;&gt;Completed")</f>
        <v>8</v>
      </c>
      <c r="D29" s="4"/>
      <c r="E29" s="4"/>
      <c r="F29" s="4"/>
      <c r="G29" s="27" t="s">
        <v>43</v>
      </c>
      <c r="H29" s="29" t="n">
        <f aca="false">COUNTIF('Process Summary'!J4:J33,"Red")</f>
        <v>4</v>
      </c>
      <c r="I29" s="4"/>
      <c r="J29" s="4"/>
      <c r="K29" s="4"/>
      <c r="L29" s="4"/>
    </row>
    <row r="30" customFormat="false" ht="14.25" hidden="false" customHeight="true" outlineLevel="0" collapsed="false">
      <c r="A30" s="4" t="s">
        <v>44</v>
      </c>
      <c r="B30" s="4" t="n">
        <f aca="false">COUNTIF('Process Summary'!C4:C33,"Developer 4")</f>
        <v>7</v>
      </c>
      <c r="C30" s="4" t="n">
        <f aca="false">COUNTIFS('Process Summary'!C4:C33,"Developer 4",'Process Summary'!D4:D33,"&lt;&gt;Completed")</f>
        <v>7</v>
      </c>
      <c r="D30" s="4"/>
      <c r="E30" s="4"/>
      <c r="F30" s="4"/>
      <c r="G30" s="4"/>
      <c r="H30" s="4"/>
      <c r="I30" s="4"/>
      <c r="J30" s="4"/>
      <c r="K30" s="4"/>
      <c r="L30" s="4"/>
    </row>
    <row r="31" customFormat="false" ht="14.25" hidden="false" customHeight="tru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customFormat="false" ht="14.25" hidden="false" customHeight="tru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customFormat="false" ht="14.25" hidden="false" customHeight="tru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customFormat="false" ht="14.25" hidden="false" customHeight="tru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customFormat="false" ht="14.25" hidden="false" customHeight="tru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customFormat="false" ht="14.25" hidden="false" customHeight="tru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</sheetData>
  <mergeCells count="22">
    <mergeCell ref="A1:L2"/>
    <mergeCell ref="A3:L3"/>
    <mergeCell ref="A5:C5"/>
    <mergeCell ref="D5:F5"/>
    <mergeCell ref="G5:I5"/>
    <mergeCell ref="J5:L5"/>
    <mergeCell ref="A6:C8"/>
    <mergeCell ref="D6:F8"/>
    <mergeCell ref="G6:I8"/>
    <mergeCell ref="J6:L8"/>
    <mergeCell ref="A10:C10"/>
    <mergeCell ref="D10:F10"/>
    <mergeCell ref="G10:I10"/>
    <mergeCell ref="J10:L10"/>
    <mergeCell ref="A11:C13"/>
    <mergeCell ref="D11:F13"/>
    <mergeCell ref="G11:I13"/>
    <mergeCell ref="J11:L13"/>
    <mergeCell ref="A15:F15"/>
    <mergeCell ref="G15:L15"/>
    <mergeCell ref="A25:F25"/>
    <mergeCell ref="G25:L25"/>
  </mergeCells>
  <conditionalFormatting sqref="D17:D22">
    <cfRule type="dataBar" priority="2">
      <dataBar showValue="1" minLength="10" maxLength="90">
        <cfvo type="min" val="0"/>
        <cfvo type="max" val="0"/>
        <color rgb="FF2E75B6"/>
      </dataBar>
      <extLst>
        <ext xmlns:x14="http://schemas.microsoft.com/office/spreadsheetml/2009/9/main" uri="{B025F937-C7B1-47D3-B67F-A62EFF666E3E}">
          <x14:id>{BABC3160-58F9-46CE-A065-3BD22DBDBBA0}</x14:id>
        </ext>
      </extLst>
    </cfRule>
    <cfRule type="dataBar" priority="3">
      <dataBar showValue="1" minLength="10" maxLength="90">
        <cfvo type="min" val="0"/>
        <cfvo type="max" val="0"/>
        <color rgb="FF2E75B6"/>
      </dataBar>
      <extLst>
        <ext xmlns:x14="http://schemas.microsoft.com/office/spreadsheetml/2009/9/main" uri="{B025F937-C7B1-47D3-B67F-A62EFF666E3E}">
          <x14:id>{CF38629E-CF27-45B7-81A0-6F65F0C5D062}</x14:id>
        </ext>
      </extLst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BC3160-58F9-46CE-A065-3BD22DBDBBA0}">
            <x14:dataBar minLength="10" maxLength="90" axisPosition="none" gradient="true">
              <x14:cfvo type="min"/>
              <x14:cfvo type="max"/>
              <x14:negativeFillColor rgb="FF2E75B6"/>
              <x14:axisColor rgb="FF000000"/>
            </x14:dataBar>
          </x14:cfRule>
          <x14:cfRule type="dataBar" id="{CF38629E-CF27-45B7-81A0-6F65F0C5D062}">
            <x14:dataBar minLength="10" maxLength="90" axisPosition="none" gradient="true">
              <x14:cfvo type="min"/>
              <x14:cfvo type="max"/>
              <x14:negativeFillColor rgb="FF2E75B6"/>
              <x14:axisColor rgb="FF000000"/>
            </x14:dataBar>
          </x14:cfRule>
          <xm:sqref>D17:D22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F6" activeCellId="0" sqref="F6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30" width="52.5"/>
    <col collapsed="false" customWidth="true" hidden="false" outlineLevel="0" max="2" min="2" style="30" width="11.16"/>
    <col collapsed="false" customWidth="true" hidden="false" outlineLevel="0" max="3" min="3" style="30" width="11"/>
    <col collapsed="false" customWidth="true" hidden="false" outlineLevel="0" max="4" min="4" style="30" width="10.51"/>
    <col collapsed="false" customWidth="true" hidden="false" outlineLevel="0" max="5" min="5" style="30" width="10.16"/>
    <col collapsed="false" customWidth="true" hidden="false" outlineLevel="0" max="6" min="6" style="30" width="10.66"/>
    <col collapsed="false" customWidth="true" hidden="false" outlineLevel="0" max="8" min="7" style="30" width="10.16"/>
    <col collapsed="false" customWidth="true" hidden="false" outlineLevel="0" max="9" min="9" style="30" width="8"/>
    <col collapsed="false" customWidth="true" hidden="false" outlineLevel="0" max="10" min="10" style="30" width="6.51"/>
    <col collapsed="false" customWidth="false" hidden="false" outlineLevel="0" max="16384" min="11" style="30" width="8.67"/>
  </cols>
  <sheetData>
    <row r="1" customFormat="false" ht="15" hidden="false" customHeight="true" outlineLevel="0" collapsed="false">
      <c r="A1" s="31" t="s">
        <v>45</v>
      </c>
      <c r="B1" s="31"/>
      <c r="C1" s="31"/>
      <c r="D1" s="31"/>
      <c r="E1" s="31"/>
      <c r="F1" s="31"/>
      <c r="G1" s="31"/>
      <c r="H1" s="31"/>
      <c r="I1" s="31"/>
      <c r="J1" s="31"/>
    </row>
    <row r="2" customFormat="false" ht="15" hidden="false" customHeight="true" outlineLevel="0" collapsed="false">
      <c r="A2" s="31"/>
      <c r="B2" s="31"/>
      <c r="C2" s="31"/>
      <c r="D2" s="31"/>
      <c r="E2" s="31"/>
      <c r="F2" s="31"/>
      <c r="G2" s="31"/>
      <c r="H2" s="31"/>
      <c r="I2" s="31"/>
      <c r="J2" s="31"/>
    </row>
    <row r="3" customFormat="false" ht="15" hidden="false" customHeight="true" outlineLevel="0" collapsed="false">
      <c r="A3" s="32" t="s">
        <v>46</v>
      </c>
      <c r="B3" s="32" t="s">
        <v>47</v>
      </c>
      <c r="C3" s="32" t="s">
        <v>48</v>
      </c>
      <c r="D3" s="32" t="s">
        <v>1</v>
      </c>
      <c r="E3" s="32" t="s">
        <v>49</v>
      </c>
      <c r="F3" s="32" t="s">
        <v>50</v>
      </c>
      <c r="G3" s="32" t="s">
        <v>51</v>
      </c>
      <c r="H3" s="32" t="s">
        <v>52</v>
      </c>
      <c r="I3" s="32" t="s">
        <v>53</v>
      </c>
      <c r="J3" s="32" t="s">
        <v>20</v>
      </c>
    </row>
    <row r="4" customFormat="false" ht="15" hidden="false" customHeight="false" outlineLevel="0" collapsed="false">
      <c r="A4" s="33" t="s">
        <v>54</v>
      </c>
      <c r="B4" s="34" t="s">
        <v>55</v>
      </c>
      <c r="C4" s="34" t="s">
        <v>38</v>
      </c>
      <c r="D4" s="33" t="str">
        <f aca="false">'Project Tracker'!E2</f>
        <v>Not Started</v>
      </c>
      <c r="E4" s="35" t="n">
        <v>46187</v>
      </c>
      <c r="F4" s="36"/>
      <c r="G4" s="37" t="n">
        <f aca="false">IF(F4&lt;&gt;"",F4,E4)</f>
        <v>46187</v>
      </c>
      <c r="H4" s="37" t="n">
        <f aca="false">'Project Tracker'!H2</f>
        <v>46223</v>
      </c>
      <c r="I4" s="38" t="n">
        <f aca="false">'Project Tracker'!F2</f>
        <v>0</v>
      </c>
      <c r="J4" s="39" t="str">
        <f aca="false">'Project Tracker'!L2</f>
        <v>Red</v>
      </c>
    </row>
    <row r="5" customFormat="false" ht="15" hidden="false" customHeight="false" outlineLevel="0" collapsed="false">
      <c r="A5" s="33" t="s">
        <v>56</v>
      </c>
      <c r="B5" s="34" t="s">
        <v>57</v>
      </c>
      <c r="C5" s="34" t="s">
        <v>40</v>
      </c>
      <c r="D5" s="33" t="str">
        <f aca="false">'Project Tracker'!E9</f>
        <v>Not Started</v>
      </c>
      <c r="E5" s="35" t="n">
        <v>46187</v>
      </c>
      <c r="F5" s="36"/>
      <c r="G5" s="37" t="n">
        <f aca="false">IF(F5&lt;&gt;"",F5,E5)</f>
        <v>46187</v>
      </c>
      <c r="H5" s="37" t="n">
        <f aca="false">'Project Tracker'!H9</f>
        <v>46216</v>
      </c>
      <c r="I5" s="38" t="n">
        <f aca="false">'Project Tracker'!F9</f>
        <v>0</v>
      </c>
      <c r="J5" s="39" t="str">
        <f aca="false">'Project Tracker'!L9</f>
        <v>Red</v>
      </c>
    </row>
    <row r="6" customFormat="false" ht="15" hidden="false" customHeight="false" outlineLevel="0" collapsed="false">
      <c r="A6" s="33" t="s">
        <v>58</v>
      </c>
      <c r="B6" s="34" t="s">
        <v>55</v>
      </c>
      <c r="C6" s="34" t="s">
        <v>42</v>
      </c>
      <c r="D6" s="33" t="str">
        <f aca="false">'Project Tracker'!E16</f>
        <v>Not Started</v>
      </c>
      <c r="E6" s="35" t="n">
        <v>46187</v>
      </c>
      <c r="F6" s="36"/>
      <c r="G6" s="37" t="n">
        <f aca="false">IF(F6&lt;&gt;"",F6,E6)</f>
        <v>46187</v>
      </c>
      <c r="H6" s="37" t="n">
        <f aca="false">'Project Tracker'!H16</f>
        <v>46223</v>
      </c>
      <c r="I6" s="38" t="n">
        <f aca="false">'Project Tracker'!F16</f>
        <v>0</v>
      </c>
      <c r="J6" s="39" t="str">
        <f aca="false">'Project Tracker'!L16</f>
        <v>Red</v>
      </c>
    </row>
    <row r="7" customFormat="false" ht="15" hidden="false" customHeight="false" outlineLevel="0" collapsed="false">
      <c r="A7" s="33" t="s">
        <v>59</v>
      </c>
      <c r="B7" s="34" t="s">
        <v>55</v>
      </c>
      <c r="C7" s="34" t="s">
        <v>44</v>
      </c>
      <c r="D7" s="33" t="str">
        <f aca="false">'Project Tracker'!E23</f>
        <v>Not Started</v>
      </c>
      <c r="E7" s="35" t="n">
        <v>46187</v>
      </c>
      <c r="F7" s="36"/>
      <c r="G7" s="37" t="n">
        <f aca="false">IF(F7&lt;&gt;"",F7,E7)</f>
        <v>46187</v>
      </c>
      <c r="H7" s="37" t="n">
        <f aca="false">'Project Tracker'!H23</f>
        <v>46223</v>
      </c>
      <c r="I7" s="38" t="n">
        <f aca="false">'Project Tracker'!F23</f>
        <v>0</v>
      </c>
      <c r="J7" s="39" t="str">
        <f aca="false">'Project Tracker'!L23</f>
        <v>Red</v>
      </c>
    </row>
    <row r="8" customFormat="false" ht="15" hidden="false" customHeight="false" outlineLevel="0" collapsed="false">
      <c r="A8" s="33" t="s">
        <v>60</v>
      </c>
      <c r="B8" s="34" t="s">
        <v>61</v>
      </c>
      <c r="C8" s="34" t="s">
        <v>40</v>
      </c>
      <c r="D8" s="33" t="str">
        <f aca="false">'Project Tracker'!E30</f>
        <v>Not Started</v>
      </c>
      <c r="E8" s="35" t="n">
        <f aca="false">H5+1+2*INT((WEEKDAY(H5,1)-1+1)/5)</f>
        <v>46217</v>
      </c>
      <c r="F8" s="36"/>
      <c r="G8" s="37" t="n">
        <f aca="false">IF(F8&lt;&gt;"",F8,E8)</f>
        <v>46217</v>
      </c>
      <c r="H8" s="37" t="n">
        <f aca="false">'Project Tracker'!H30</f>
        <v>46260</v>
      </c>
      <c r="I8" s="38" t="n">
        <f aca="false">'Project Tracker'!F30</f>
        <v>0</v>
      </c>
      <c r="J8" s="39" t="str">
        <f aca="false">'Project Tracker'!L30</f>
        <v>Green</v>
      </c>
    </row>
    <row r="9" customFormat="false" ht="15" hidden="false" customHeight="false" outlineLevel="0" collapsed="false">
      <c r="A9" s="33" t="s">
        <v>62</v>
      </c>
      <c r="B9" s="34" t="s">
        <v>61</v>
      </c>
      <c r="C9" s="34" t="s">
        <v>38</v>
      </c>
      <c r="D9" s="33" t="str">
        <f aca="false">'Project Tracker'!E37</f>
        <v>Not Started</v>
      </c>
      <c r="E9" s="35" t="n">
        <f aca="false">H4+1+2*INT((WEEKDAY(H4,1)-1+1)/5)</f>
        <v>46224</v>
      </c>
      <c r="F9" s="36"/>
      <c r="G9" s="37" t="n">
        <f aca="false">IF(F9&lt;&gt;"",F9,E9)</f>
        <v>46224</v>
      </c>
      <c r="H9" s="37" t="n">
        <f aca="false">'Project Tracker'!H37</f>
        <v>46267</v>
      </c>
      <c r="I9" s="38" t="n">
        <f aca="false">'Project Tracker'!F37</f>
        <v>0</v>
      </c>
      <c r="J9" s="39" t="str">
        <f aca="false">'Project Tracker'!L37</f>
        <v>Green</v>
      </c>
    </row>
    <row r="10" customFormat="false" ht="15" hidden="false" customHeight="false" outlineLevel="0" collapsed="false">
      <c r="A10" s="34" t="s">
        <v>61</v>
      </c>
      <c r="B10" s="34" t="s">
        <v>61</v>
      </c>
      <c r="C10" s="34" t="s">
        <v>42</v>
      </c>
      <c r="D10" s="33" t="str">
        <f aca="false">'Project Tracker'!E44</f>
        <v>Not Started</v>
      </c>
      <c r="E10" s="35" t="n">
        <f aca="false">H6+1+2*INT((WEEKDAY(H6,1)-1+1)/5)</f>
        <v>46224</v>
      </c>
      <c r="F10" s="36"/>
      <c r="G10" s="37" t="n">
        <f aca="false">IF(F10&lt;&gt;"",F10,E10)</f>
        <v>46224</v>
      </c>
      <c r="H10" s="37" t="n">
        <f aca="false">'Project Tracker'!H44</f>
        <v>46267</v>
      </c>
      <c r="I10" s="38" t="n">
        <f aca="false">'Project Tracker'!F44</f>
        <v>0</v>
      </c>
      <c r="J10" s="39" t="str">
        <f aca="false">'Project Tracker'!L44</f>
        <v>Green</v>
      </c>
    </row>
    <row r="11" customFormat="false" ht="15" hidden="false" customHeight="false" outlineLevel="0" collapsed="false">
      <c r="A11" s="34" t="s">
        <v>61</v>
      </c>
      <c r="B11" s="34" t="s">
        <v>61</v>
      </c>
      <c r="C11" s="34" t="s">
        <v>44</v>
      </c>
      <c r="D11" s="33" t="str">
        <f aca="false">'Project Tracker'!E51</f>
        <v>Not Started</v>
      </c>
      <c r="E11" s="35" t="n">
        <f aca="false">H7+1+2*INT((WEEKDAY(H7,1)-1+1)/5)</f>
        <v>46224</v>
      </c>
      <c r="F11" s="36"/>
      <c r="G11" s="37" t="n">
        <f aca="false">IF(F11&lt;&gt;"",F11,E11)</f>
        <v>46224</v>
      </c>
      <c r="H11" s="37" t="n">
        <f aca="false">'Project Tracker'!H51</f>
        <v>46267</v>
      </c>
      <c r="I11" s="38" t="n">
        <f aca="false">'Project Tracker'!F51</f>
        <v>0</v>
      </c>
      <c r="J11" s="39" t="str">
        <f aca="false">'Project Tracker'!L51</f>
        <v>Green</v>
      </c>
    </row>
    <row r="12" customFormat="false" ht="15" hidden="false" customHeight="false" outlineLevel="0" collapsed="false">
      <c r="A12" s="34" t="s">
        <v>61</v>
      </c>
      <c r="B12" s="34" t="s">
        <v>61</v>
      </c>
      <c r="C12" s="34" t="s">
        <v>40</v>
      </c>
      <c r="D12" s="33" t="str">
        <f aca="false">'Project Tracker'!E58</f>
        <v>Not Started</v>
      </c>
      <c r="E12" s="35" t="n">
        <f aca="false">H8+1+2*INT((WEEKDAY(H8,1)-1+1)/5)</f>
        <v>46261</v>
      </c>
      <c r="F12" s="36"/>
      <c r="G12" s="37" t="n">
        <f aca="false">IF(F12&lt;&gt;"",F12,E12)</f>
        <v>46261</v>
      </c>
      <c r="H12" s="37" t="n">
        <f aca="false">'Project Tracker'!H58</f>
        <v>46306</v>
      </c>
      <c r="I12" s="38" t="n">
        <f aca="false">'Project Tracker'!F58</f>
        <v>0</v>
      </c>
      <c r="J12" s="39" t="str">
        <f aca="false">'Project Tracker'!L58</f>
        <v>Green</v>
      </c>
    </row>
    <row r="13" customFormat="false" ht="15" hidden="false" customHeight="false" outlineLevel="0" collapsed="false">
      <c r="A13" s="34" t="s">
        <v>55</v>
      </c>
      <c r="B13" s="34" t="s">
        <v>55</v>
      </c>
      <c r="C13" s="34" t="s">
        <v>38</v>
      </c>
      <c r="D13" s="33" t="str">
        <f aca="false">'Project Tracker'!E65</f>
        <v>Not Started</v>
      </c>
      <c r="E13" s="35" t="n">
        <f aca="false">H9+1+2*INT((WEEKDAY(H9,1)-1+1)/5)</f>
        <v>46268</v>
      </c>
      <c r="F13" s="36"/>
      <c r="G13" s="37" t="n">
        <f aca="false">IF(F13&lt;&gt;"",F13,E13)</f>
        <v>46268</v>
      </c>
      <c r="H13" s="37" t="n">
        <f aca="false">'Project Tracker'!H65</f>
        <v>46306</v>
      </c>
      <c r="I13" s="38" t="n">
        <f aca="false">'Project Tracker'!F65</f>
        <v>0</v>
      </c>
      <c r="J13" s="39" t="str">
        <f aca="false">'Project Tracker'!L65</f>
        <v>Green</v>
      </c>
    </row>
    <row r="14" customFormat="false" ht="15" hidden="false" customHeight="false" outlineLevel="0" collapsed="false">
      <c r="A14" s="34" t="s">
        <v>55</v>
      </c>
      <c r="B14" s="34" t="s">
        <v>55</v>
      </c>
      <c r="C14" s="34" t="s">
        <v>42</v>
      </c>
      <c r="D14" s="33" t="str">
        <f aca="false">'Project Tracker'!E72</f>
        <v>Not Started</v>
      </c>
      <c r="E14" s="35" t="n">
        <f aca="false">H10+1+2*INT((WEEKDAY(H10,1)-1+1)/5)</f>
        <v>46268</v>
      </c>
      <c r="F14" s="36"/>
      <c r="G14" s="37" t="n">
        <f aca="false">IF(F14&lt;&gt;"",F14,E14)</f>
        <v>46268</v>
      </c>
      <c r="H14" s="37" t="n">
        <f aca="false">'Project Tracker'!H72</f>
        <v>46306</v>
      </c>
      <c r="I14" s="38" t="n">
        <f aca="false">'Project Tracker'!F72</f>
        <v>0</v>
      </c>
      <c r="J14" s="39" t="str">
        <f aca="false">'Project Tracker'!L72</f>
        <v>Green</v>
      </c>
    </row>
    <row r="15" customFormat="false" ht="15" hidden="false" customHeight="false" outlineLevel="0" collapsed="false">
      <c r="A15" s="34" t="s">
        <v>55</v>
      </c>
      <c r="B15" s="34" t="s">
        <v>55</v>
      </c>
      <c r="C15" s="34" t="s">
        <v>44</v>
      </c>
      <c r="D15" s="33" t="str">
        <f aca="false">'Project Tracker'!E79</f>
        <v>Not Started</v>
      </c>
      <c r="E15" s="35" t="n">
        <f aca="false">H11+1+2*INT((WEEKDAY(H11,1)-1+1)/5)</f>
        <v>46268</v>
      </c>
      <c r="F15" s="36"/>
      <c r="G15" s="37" t="n">
        <f aca="false">IF(F15&lt;&gt;"",F15,E15)</f>
        <v>46268</v>
      </c>
      <c r="H15" s="37" t="n">
        <f aca="false">'Project Tracker'!H79</f>
        <v>46306</v>
      </c>
      <c r="I15" s="38" t="n">
        <f aca="false">'Project Tracker'!F79</f>
        <v>0</v>
      </c>
      <c r="J15" s="39" t="str">
        <f aca="false">'Project Tracker'!L79</f>
        <v>Green</v>
      </c>
    </row>
    <row r="16" customFormat="false" ht="15" hidden="false" customHeight="false" outlineLevel="0" collapsed="false">
      <c r="A16" s="34" t="s">
        <v>55</v>
      </c>
      <c r="B16" s="34" t="s">
        <v>55</v>
      </c>
      <c r="C16" s="34" t="s">
        <v>40</v>
      </c>
      <c r="D16" s="33" t="str">
        <f aca="false">'Project Tracker'!E86</f>
        <v>Not Started</v>
      </c>
      <c r="E16" s="35" t="n">
        <f aca="false">H12+1+2*INT((WEEKDAY(H12,1)-1+1)/5)</f>
        <v>46307</v>
      </c>
      <c r="F16" s="36"/>
      <c r="G16" s="37" t="n">
        <f aca="false">IF(F16&lt;&gt;"",F16,E16)</f>
        <v>46307</v>
      </c>
      <c r="H16" s="37" t="n">
        <f aca="false">'Project Tracker'!H86</f>
        <v>46343</v>
      </c>
      <c r="I16" s="38" t="n">
        <f aca="false">'Project Tracker'!F86</f>
        <v>0</v>
      </c>
      <c r="J16" s="39" t="str">
        <f aca="false">'Project Tracker'!L86</f>
        <v>Green</v>
      </c>
    </row>
    <row r="17" customFormat="false" ht="15" hidden="false" customHeight="false" outlineLevel="0" collapsed="false">
      <c r="A17" s="34" t="s">
        <v>55</v>
      </c>
      <c r="B17" s="34" t="s">
        <v>55</v>
      </c>
      <c r="C17" s="34" t="s">
        <v>42</v>
      </c>
      <c r="D17" s="33" t="str">
        <f aca="false">'Project Tracker'!E93</f>
        <v>Not Started</v>
      </c>
      <c r="E17" s="35" t="n">
        <f aca="false">H14+1+2*INT((WEEKDAY(H14,1)-1+1)/5)</f>
        <v>46307</v>
      </c>
      <c r="F17" s="36"/>
      <c r="G17" s="37" t="n">
        <f aca="false">IF(F17&lt;&gt;"",F17,E17)</f>
        <v>46307</v>
      </c>
      <c r="H17" s="37" t="n">
        <f aca="false">'Project Tracker'!H93</f>
        <v>46343</v>
      </c>
      <c r="I17" s="38" t="n">
        <f aca="false">'Project Tracker'!F93</f>
        <v>0</v>
      </c>
      <c r="J17" s="39" t="str">
        <f aca="false">'Project Tracker'!L93</f>
        <v>Green</v>
      </c>
    </row>
    <row r="18" customFormat="false" ht="15" hidden="false" customHeight="false" outlineLevel="0" collapsed="false">
      <c r="A18" s="34" t="s">
        <v>55</v>
      </c>
      <c r="B18" s="34" t="s">
        <v>55</v>
      </c>
      <c r="C18" s="34" t="s">
        <v>44</v>
      </c>
      <c r="D18" s="33" t="str">
        <f aca="false">'Project Tracker'!E100</f>
        <v>Not Started</v>
      </c>
      <c r="E18" s="35" t="n">
        <f aca="false">H15+1+2*INT((WEEKDAY(H15,1)-1+1)/5)</f>
        <v>46307</v>
      </c>
      <c r="F18" s="36"/>
      <c r="G18" s="37" t="n">
        <f aca="false">IF(F18&lt;&gt;"",F18,E18)</f>
        <v>46307</v>
      </c>
      <c r="H18" s="37" t="n">
        <f aca="false">'Project Tracker'!H100</f>
        <v>46343</v>
      </c>
      <c r="I18" s="38" t="n">
        <f aca="false">'Project Tracker'!F100</f>
        <v>0</v>
      </c>
      <c r="J18" s="39" t="str">
        <f aca="false">'Project Tracker'!L100</f>
        <v>Green</v>
      </c>
    </row>
    <row r="19" customFormat="false" ht="15" hidden="false" customHeight="false" outlineLevel="0" collapsed="false">
      <c r="A19" s="34" t="s">
        <v>55</v>
      </c>
      <c r="B19" s="34" t="s">
        <v>55</v>
      </c>
      <c r="C19" s="34" t="s">
        <v>38</v>
      </c>
      <c r="D19" s="33" t="str">
        <f aca="false">'Project Tracker'!E107</f>
        <v>Not Started</v>
      </c>
      <c r="E19" s="35" t="n">
        <f aca="false">H13+1+2*INT((WEEKDAY(H13,1)-1+1)/5)</f>
        <v>46307</v>
      </c>
      <c r="F19" s="36"/>
      <c r="G19" s="37" t="n">
        <f aca="false">IF(F19&lt;&gt;"",F19,E19)</f>
        <v>46307</v>
      </c>
      <c r="H19" s="37" t="n">
        <f aca="false">'Project Tracker'!H107</f>
        <v>46343</v>
      </c>
      <c r="I19" s="38" t="n">
        <f aca="false">'Project Tracker'!F107</f>
        <v>0</v>
      </c>
      <c r="J19" s="39" t="str">
        <f aca="false">'Project Tracker'!L107</f>
        <v>Green</v>
      </c>
    </row>
    <row r="20" customFormat="false" ht="15" hidden="false" customHeight="false" outlineLevel="0" collapsed="false">
      <c r="A20" s="34" t="s">
        <v>55</v>
      </c>
      <c r="B20" s="34" t="s">
        <v>55</v>
      </c>
      <c r="C20" s="34" t="s">
        <v>40</v>
      </c>
      <c r="D20" s="33" t="str">
        <f aca="false">'Project Tracker'!E114</f>
        <v>Not Started</v>
      </c>
      <c r="E20" s="35" t="n">
        <f aca="false">H16+1+2*INT((WEEKDAY(H16,1)-1+1)/5)</f>
        <v>46344</v>
      </c>
      <c r="F20" s="36"/>
      <c r="G20" s="37" t="n">
        <f aca="false">IF(F20&lt;&gt;"",F20,E20)</f>
        <v>46344</v>
      </c>
      <c r="H20" s="37" t="n">
        <f aca="false">'Project Tracker'!H114</f>
        <v>46380</v>
      </c>
      <c r="I20" s="38" t="n">
        <f aca="false">'Project Tracker'!F114</f>
        <v>0</v>
      </c>
      <c r="J20" s="39" t="str">
        <f aca="false">'Project Tracker'!L114</f>
        <v>Green</v>
      </c>
    </row>
    <row r="21" customFormat="false" ht="15" hidden="false" customHeight="false" outlineLevel="0" collapsed="false">
      <c r="A21" s="34" t="s">
        <v>55</v>
      </c>
      <c r="B21" s="34" t="s">
        <v>55</v>
      </c>
      <c r="C21" s="34" t="s">
        <v>42</v>
      </c>
      <c r="D21" s="33" t="str">
        <f aca="false">'Project Tracker'!E121</f>
        <v>Not Started</v>
      </c>
      <c r="E21" s="35" t="n">
        <f aca="false">H17+1+2*INT((WEEKDAY(H17,1)-1+1)/5)</f>
        <v>46344</v>
      </c>
      <c r="F21" s="36"/>
      <c r="G21" s="37" t="n">
        <f aca="false">IF(F21&lt;&gt;"",F21,E21)</f>
        <v>46344</v>
      </c>
      <c r="H21" s="37" t="n">
        <f aca="false">'Project Tracker'!H121</f>
        <v>46380</v>
      </c>
      <c r="I21" s="38" t="n">
        <f aca="false">'Project Tracker'!F121</f>
        <v>0</v>
      </c>
      <c r="J21" s="39" t="str">
        <f aca="false">'Project Tracker'!L121</f>
        <v>Green</v>
      </c>
    </row>
    <row r="22" customFormat="false" ht="15" hidden="false" customHeight="false" outlineLevel="0" collapsed="false">
      <c r="A22" s="34" t="s">
        <v>55</v>
      </c>
      <c r="B22" s="34" t="s">
        <v>55</v>
      </c>
      <c r="C22" s="34" t="s">
        <v>44</v>
      </c>
      <c r="D22" s="33" t="str">
        <f aca="false">'Project Tracker'!E128</f>
        <v>Not Started</v>
      </c>
      <c r="E22" s="35" t="n">
        <f aca="false">H18+1+2*INT((WEEKDAY(H18,1)-1+1)/5)</f>
        <v>46344</v>
      </c>
      <c r="F22" s="36"/>
      <c r="G22" s="37" t="n">
        <f aca="false">IF(F22&lt;&gt;"",F22,E22)</f>
        <v>46344</v>
      </c>
      <c r="H22" s="37" t="n">
        <f aca="false">'Project Tracker'!H128</f>
        <v>46380</v>
      </c>
      <c r="I22" s="38" t="n">
        <f aca="false">'Project Tracker'!F128</f>
        <v>0</v>
      </c>
      <c r="J22" s="39" t="str">
        <f aca="false">'Project Tracker'!L128</f>
        <v>Green</v>
      </c>
    </row>
    <row r="23" customFormat="false" ht="15" hidden="false" customHeight="false" outlineLevel="0" collapsed="false">
      <c r="A23" s="34" t="s">
        <v>55</v>
      </c>
      <c r="B23" s="34" t="s">
        <v>55</v>
      </c>
      <c r="C23" s="34" t="s">
        <v>38</v>
      </c>
      <c r="D23" s="33" t="str">
        <f aca="false">'Project Tracker'!E135</f>
        <v>Not Started</v>
      </c>
      <c r="E23" s="35" t="n">
        <f aca="false">H19+1+2*INT((WEEKDAY(H19,1)-1+1)/5)</f>
        <v>46344</v>
      </c>
      <c r="F23" s="36"/>
      <c r="G23" s="37" t="n">
        <f aca="false">IF(F23&lt;&gt;"",F23,E23)</f>
        <v>46344</v>
      </c>
      <c r="H23" s="37" t="n">
        <f aca="false">'Project Tracker'!H135</f>
        <v>46380</v>
      </c>
      <c r="I23" s="38" t="n">
        <f aca="false">'Project Tracker'!F135</f>
        <v>0</v>
      </c>
      <c r="J23" s="39" t="str">
        <f aca="false">'Project Tracker'!L135</f>
        <v>Green</v>
      </c>
    </row>
    <row r="24" customFormat="false" ht="15" hidden="false" customHeight="false" outlineLevel="0" collapsed="false">
      <c r="A24" s="34" t="s">
        <v>55</v>
      </c>
      <c r="B24" s="34" t="s">
        <v>55</v>
      </c>
      <c r="C24" s="34" t="s">
        <v>40</v>
      </c>
      <c r="D24" s="33" t="str">
        <f aca="false">'Project Tracker'!E142</f>
        <v>Not Started</v>
      </c>
      <c r="E24" s="35" t="n">
        <f aca="false">H20+1+2*INT((WEEKDAY(H20,1)-1+1)/5)</f>
        <v>46383</v>
      </c>
      <c r="F24" s="36"/>
      <c r="G24" s="37" t="n">
        <f aca="false">IF(F24&lt;&gt;"",F24,E24)</f>
        <v>46383</v>
      </c>
      <c r="H24" s="37" t="n">
        <f aca="false">'Project Tracker'!H142</f>
        <v>46419</v>
      </c>
      <c r="I24" s="38" t="n">
        <f aca="false">'Project Tracker'!F142</f>
        <v>0</v>
      </c>
      <c r="J24" s="39" t="str">
        <f aca="false">'Project Tracker'!L142</f>
        <v>Green</v>
      </c>
    </row>
    <row r="25" customFormat="false" ht="15" hidden="false" customHeight="false" outlineLevel="0" collapsed="false">
      <c r="A25" s="34" t="s">
        <v>57</v>
      </c>
      <c r="B25" s="34" t="s">
        <v>57</v>
      </c>
      <c r="C25" s="34" t="s">
        <v>42</v>
      </c>
      <c r="D25" s="33" t="str">
        <f aca="false">'Project Tracker'!E149</f>
        <v>Not Started</v>
      </c>
      <c r="E25" s="35" t="n">
        <f aca="false">H21+1+2*INT((WEEKDAY(H21,1)-1+1)/5)</f>
        <v>46383</v>
      </c>
      <c r="F25" s="36"/>
      <c r="G25" s="37" t="n">
        <f aca="false">IF(F25&lt;&gt;"",F25,E25)</f>
        <v>46383</v>
      </c>
      <c r="H25" s="37" t="n">
        <f aca="false">'Project Tracker'!H149</f>
        <v>46412</v>
      </c>
      <c r="I25" s="38" t="n">
        <f aca="false">'Project Tracker'!F149</f>
        <v>0</v>
      </c>
      <c r="J25" s="39" t="str">
        <f aca="false">'Project Tracker'!L149</f>
        <v>Green</v>
      </c>
    </row>
    <row r="26" customFormat="false" ht="15" hidden="false" customHeight="false" outlineLevel="0" collapsed="false">
      <c r="A26" s="34" t="s">
        <v>57</v>
      </c>
      <c r="B26" s="34" t="s">
        <v>57</v>
      </c>
      <c r="C26" s="34" t="s">
        <v>44</v>
      </c>
      <c r="D26" s="33" t="str">
        <f aca="false">'Project Tracker'!E156</f>
        <v>Not Started</v>
      </c>
      <c r="E26" s="35" t="n">
        <f aca="false">H22+1+2*INT((WEEKDAY(H22,1)-1+1)/5)</f>
        <v>46383</v>
      </c>
      <c r="F26" s="36"/>
      <c r="G26" s="37" t="n">
        <f aca="false">IF(F26&lt;&gt;"",F26,E26)</f>
        <v>46383</v>
      </c>
      <c r="H26" s="37" t="n">
        <f aca="false">'Project Tracker'!H156</f>
        <v>46412</v>
      </c>
      <c r="I26" s="38" t="n">
        <f aca="false">'Project Tracker'!F156</f>
        <v>0</v>
      </c>
      <c r="J26" s="39" t="str">
        <f aca="false">'Project Tracker'!L156</f>
        <v>Green</v>
      </c>
    </row>
    <row r="27" customFormat="false" ht="15" hidden="false" customHeight="false" outlineLevel="0" collapsed="false">
      <c r="A27" s="34" t="s">
        <v>57</v>
      </c>
      <c r="B27" s="34" t="s">
        <v>57</v>
      </c>
      <c r="C27" s="34" t="s">
        <v>38</v>
      </c>
      <c r="D27" s="33" t="str">
        <f aca="false">'Project Tracker'!E163</f>
        <v>Not Started</v>
      </c>
      <c r="E27" s="35" t="n">
        <f aca="false">H23+1+2*INT((WEEKDAY(H23,1)-1+1)/5)</f>
        <v>46383</v>
      </c>
      <c r="F27" s="36"/>
      <c r="G27" s="37" t="n">
        <f aca="false">IF(F27&lt;&gt;"",F27,E27)</f>
        <v>46383</v>
      </c>
      <c r="H27" s="37" t="n">
        <f aca="false">'Project Tracker'!H163</f>
        <v>46412</v>
      </c>
      <c r="I27" s="38" t="n">
        <f aca="false">'Project Tracker'!F163</f>
        <v>0</v>
      </c>
      <c r="J27" s="39" t="str">
        <f aca="false">'Project Tracker'!L163</f>
        <v>Green</v>
      </c>
    </row>
    <row r="28" customFormat="false" ht="15" hidden="false" customHeight="false" outlineLevel="0" collapsed="false">
      <c r="A28" s="34" t="s">
        <v>57</v>
      </c>
      <c r="B28" s="34" t="s">
        <v>57</v>
      </c>
      <c r="C28" s="34" t="s">
        <v>40</v>
      </c>
      <c r="D28" s="33" t="str">
        <f aca="false">'Project Tracker'!E170</f>
        <v>Not Started</v>
      </c>
      <c r="E28" s="35" t="n">
        <f aca="false">H24+1+2*INT((WEEKDAY(H24,1)-1+1)/5)</f>
        <v>46420</v>
      </c>
      <c r="F28" s="36"/>
      <c r="G28" s="37" t="n">
        <f aca="false">IF(F28&lt;&gt;"",F28,E28)</f>
        <v>46420</v>
      </c>
      <c r="H28" s="37" t="n">
        <f aca="false">'Project Tracker'!H170</f>
        <v>46449</v>
      </c>
      <c r="I28" s="38" t="n">
        <f aca="false">'Project Tracker'!F170</f>
        <v>0</v>
      </c>
      <c r="J28" s="39" t="str">
        <f aca="false">'Project Tracker'!L170</f>
        <v>Green</v>
      </c>
    </row>
    <row r="29" customFormat="false" ht="15" hidden="false" customHeight="false" outlineLevel="0" collapsed="false">
      <c r="A29" s="34" t="s">
        <v>57</v>
      </c>
      <c r="B29" s="34" t="s">
        <v>57</v>
      </c>
      <c r="C29" s="34" t="s">
        <v>42</v>
      </c>
      <c r="D29" s="33" t="str">
        <f aca="false">'Project Tracker'!E177</f>
        <v>Not Started</v>
      </c>
      <c r="E29" s="35" t="n">
        <f aca="false">H25+1+2*INT((WEEKDAY(H25,1)-1+1)/5)</f>
        <v>46413</v>
      </c>
      <c r="F29" s="36"/>
      <c r="G29" s="37" t="n">
        <f aca="false">IF(F29&lt;&gt;"",F29,E29)</f>
        <v>46413</v>
      </c>
      <c r="H29" s="37" t="n">
        <f aca="false">'Project Tracker'!H177</f>
        <v>46442</v>
      </c>
      <c r="I29" s="38" t="n">
        <f aca="false">'Project Tracker'!F177</f>
        <v>0</v>
      </c>
      <c r="J29" s="39" t="str">
        <f aca="false">'Project Tracker'!L177</f>
        <v>Green</v>
      </c>
    </row>
    <row r="30" customFormat="false" ht="15" hidden="false" customHeight="false" outlineLevel="0" collapsed="false">
      <c r="A30" s="34" t="s">
        <v>57</v>
      </c>
      <c r="B30" s="34" t="s">
        <v>57</v>
      </c>
      <c r="C30" s="34" t="s">
        <v>44</v>
      </c>
      <c r="D30" s="33" t="str">
        <f aca="false">'Project Tracker'!E184</f>
        <v>Not Started</v>
      </c>
      <c r="E30" s="35" t="n">
        <f aca="false">H26+1+2*INT((WEEKDAY(H26,1)-1+1)/5)</f>
        <v>46413</v>
      </c>
      <c r="F30" s="36"/>
      <c r="G30" s="37" t="n">
        <f aca="false">IF(F30&lt;&gt;"",F30,E30)</f>
        <v>46413</v>
      </c>
      <c r="H30" s="37" t="n">
        <f aca="false">'Project Tracker'!H184</f>
        <v>46442</v>
      </c>
      <c r="I30" s="38" t="n">
        <f aca="false">'Project Tracker'!F184</f>
        <v>0</v>
      </c>
      <c r="J30" s="39" t="str">
        <f aca="false">'Project Tracker'!L184</f>
        <v>Green</v>
      </c>
    </row>
    <row r="31" customFormat="false" ht="15" hidden="false" customHeight="false" outlineLevel="0" collapsed="false">
      <c r="A31" s="34" t="s">
        <v>57</v>
      </c>
      <c r="B31" s="34" t="s">
        <v>57</v>
      </c>
      <c r="C31" s="34" t="s">
        <v>38</v>
      </c>
      <c r="D31" s="33" t="str">
        <f aca="false">'Project Tracker'!E191</f>
        <v>Not Started</v>
      </c>
      <c r="E31" s="35" t="n">
        <f aca="false">H27+1+2*INT((WEEKDAY(H27,1)-1+1)/5)</f>
        <v>46413</v>
      </c>
      <c r="F31" s="36"/>
      <c r="G31" s="37" t="n">
        <f aca="false">IF(F31&lt;&gt;"",F31,E31)</f>
        <v>46413</v>
      </c>
      <c r="H31" s="37" t="n">
        <f aca="false">'Project Tracker'!H191</f>
        <v>46442</v>
      </c>
      <c r="I31" s="38" t="n">
        <f aca="false">'Project Tracker'!F191</f>
        <v>0</v>
      </c>
      <c r="J31" s="39" t="str">
        <f aca="false">'Project Tracker'!L191</f>
        <v>Green</v>
      </c>
    </row>
    <row r="32" customFormat="false" ht="15" hidden="false" customHeight="false" outlineLevel="0" collapsed="false">
      <c r="A32" s="34" t="s">
        <v>57</v>
      </c>
      <c r="B32" s="34" t="s">
        <v>57</v>
      </c>
      <c r="C32" s="34" t="s">
        <v>40</v>
      </c>
      <c r="D32" s="33" t="str">
        <f aca="false">'Project Tracker'!E198</f>
        <v>Not Started</v>
      </c>
      <c r="E32" s="35" t="n">
        <f aca="false">H28+1+2*INT((WEEKDAY(H28,1)-1+1)/5)</f>
        <v>46450</v>
      </c>
      <c r="F32" s="36"/>
      <c r="G32" s="37" t="n">
        <f aca="false">IF(F32&lt;&gt;"",F32,E32)</f>
        <v>46450</v>
      </c>
      <c r="H32" s="37" t="n">
        <f aca="false">'Project Tracker'!H198</f>
        <v>46481</v>
      </c>
      <c r="I32" s="38" t="n">
        <f aca="false">'Project Tracker'!F198</f>
        <v>0</v>
      </c>
      <c r="J32" s="39" t="str">
        <f aca="false">'Project Tracker'!L198</f>
        <v>Green</v>
      </c>
    </row>
    <row r="33" customFormat="false" ht="15" hidden="false" customHeight="false" outlineLevel="0" collapsed="false">
      <c r="A33" s="34" t="s">
        <v>57</v>
      </c>
      <c r="B33" s="34" t="s">
        <v>57</v>
      </c>
      <c r="C33" s="34" t="s">
        <v>42</v>
      </c>
      <c r="D33" s="33" t="str">
        <f aca="false">'Project Tracker'!E205</f>
        <v>Not Started</v>
      </c>
      <c r="E33" s="35" t="n">
        <f aca="false">H29+1+2*INT((WEEKDAY(H29,1)-1+1)/5)</f>
        <v>46443</v>
      </c>
      <c r="F33" s="36"/>
      <c r="G33" s="37" t="n">
        <f aca="false">IF(F33&lt;&gt;"",F33,E33)</f>
        <v>46443</v>
      </c>
      <c r="H33" s="37" t="n">
        <f aca="false">'Project Tracker'!H205</f>
        <v>46474</v>
      </c>
      <c r="I33" s="38" t="n">
        <f aca="false">'Project Tracker'!F205</f>
        <v>0</v>
      </c>
      <c r="J33" s="39" t="str">
        <f aca="false">'Project Tracker'!L205</f>
        <v>Green</v>
      </c>
    </row>
  </sheetData>
  <autoFilter ref="A1:J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mergeCells count="1">
    <mergeCell ref="A1:J2"/>
  </mergeCells>
  <conditionalFormatting sqref="I4:I33">
    <cfRule type="dataBar" priority="2">
      <dataBar showValue="1" minLength="10" maxLength="90">
        <cfvo type="min" val="0"/>
        <cfvo type="max" val="0"/>
        <color rgb="FF5B9BD5"/>
      </dataBar>
      <extLst>
        <ext xmlns:x14="http://schemas.microsoft.com/office/spreadsheetml/2009/9/main" uri="{B025F937-C7B1-47D3-B67F-A62EFF666E3E}">
          <x14:id>{A1828078-76E8-4590-8B88-F95CFDAE729B}</x14:id>
        </ext>
      </extLst>
    </cfRule>
    <cfRule type="dataBar" priority="3">
      <dataBar showValue="1" minLength="10" maxLength="90">
        <cfvo type="min" val="0"/>
        <cfvo type="max" val="0"/>
        <color rgb="FF5B9BD5"/>
      </dataBar>
      <extLst>
        <ext xmlns:x14="http://schemas.microsoft.com/office/spreadsheetml/2009/9/main" uri="{B025F937-C7B1-47D3-B67F-A62EFF666E3E}">
          <x14:id>{F9227A10-1AA1-4DAA-83E1-1A514D6D1BA5}</x14:id>
        </ext>
      </extLst>
    </cfRule>
  </conditionalFormatting>
  <conditionalFormatting sqref="J4:J33">
    <cfRule type="expression" priority="4" aboveAverage="0" equalAverage="0" bottom="0" percent="0" rank="0" text="" dxfId="11">
      <formula>J4="Green"</formula>
    </cfRule>
    <cfRule type="expression" priority="5" aboveAverage="0" equalAverage="0" bottom="0" percent="0" rank="0" text="" dxfId="12">
      <formula>J4="Amber"</formula>
    </cfRule>
    <cfRule type="expression" priority="6" aboveAverage="0" equalAverage="0" bottom="0" percent="0" rank="0" text="" dxfId="13">
      <formula>J4="Red"</formula>
    </cfRule>
    <cfRule type="expression" priority="7" aboveAverage="0" equalAverage="0" bottom="0" percent="0" rank="0" text="" dxfId="14">
      <formula>J4="Gray"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828078-76E8-4590-8B88-F95CFDAE729B}">
            <x14:dataBar minLength="10" maxLength="90" axisPosition="none" gradient="true">
              <x14:cfvo type="min"/>
              <x14:cfvo type="max"/>
              <x14:negativeFillColor rgb="FF5B9BD5"/>
              <x14:axisColor rgb="FF000000"/>
            </x14:dataBar>
          </x14:cfRule>
          <x14:cfRule type="dataBar" id="{F9227A10-1AA1-4DAA-83E1-1A514D6D1BA5}">
            <x14:dataBar minLength="10" maxLength="90" axisPosition="none" gradient="true">
              <x14:cfvo type="min"/>
              <x14:cfvo type="max"/>
              <x14:negativeFillColor rgb="FF5B9BD5"/>
              <x14:axisColor rgb="FF000000"/>
            </x14:dataBar>
          </x14:cfRule>
          <xm:sqref>I4:I33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1"/>
  <sheetViews>
    <sheetView showFormulas="false" showGridLines="true" showRowColHeaders="true" showZeros="true" rightToLeft="false" tabSelected="true" showOutlineSymbols="true" defaultGridColor="true" view="normal" topLeftCell="B1" colorId="64" zoomScale="143" zoomScaleNormal="143" zoomScalePageLayoutView="100" workbookViewId="0">
      <pane xSplit="0" ySplit="1" topLeftCell="A2" activePane="bottomLeft" state="frozen"/>
      <selection pane="topLeft" activeCell="B1" activeCellId="0" sqref="B1"/>
      <selection pane="bottomLeft" activeCell="N208" activeCellId="0" sqref="N208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30" width="55.16"/>
    <col collapsed="false" customWidth="true" hidden="false" outlineLevel="0" max="2" min="2" style="30" width="21.67"/>
    <col collapsed="false" customWidth="true" hidden="false" outlineLevel="0" max="3" min="3" style="30" width="16.16"/>
    <col collapsed="false" customWidth="true" hidden="false" outlineLevel="0" max="4" min="4" style="30" width="16.67"/>
    <col collapsed="false" customWidth="true" hidden="false" outlineLevel="0" max="5" min="5" style="30" width="15.16"/>
    <col collapsed="false" customWidth="true" hidden="false" outlineLevel="0" max="6" min="6" style="30" width="14.33"/>
    <col collapsed="false" customWidth="true" hidden="false" outlineLevel="0" max="7" min="7" style="30" width="11.5"/>
    <col collapsed="false" customWidth="true" hidden="false" outlineLevel="0" max="8" min="8" style="30" width="12.67"/>
    <col collapsed="false" customWidth="true" hidden="false" outlineLevel="0" max="9" min="9" style="30" width="18.16"/>
    <col collapsed="false" customWidth="true" hidden="false" outlineLevel="0" max="10" min="10" style="30" width="18.5"/>
    <col collapsed="false" customWidth="true" hidden="false" outlineLevel="0" max="12" min="11" style="30" width="20.16"/>
    <col collapsed="false" customWidth="true" hidden="false" outlineLevel="0" max="13" min="13" style="30" width="30.51"/>
    <col collapsed="false" customWidth="true" hidden="false" outlineLevel="0" max="14" min="14" style="30" width="18.16"/>
    <col collapsed="false" customWidth="false" hidden="false" outlineLevel="0" max="16384" min="15" style="30" width="14"/>
  </cols>
  <sheetData>
    <row r="1" customFormat="false" ht="30" hidden="false" customHeight="true" outlineLevel="0" collapsed="false">
      <c r="A1" s="40" t="s">
        <v>63</v>
      </c>
      <c r="B1" s="40" t="s">
        <v>64</v>
      </c>
      <c r="C1" s="40" t="s">
        <v>65</v>
      </c>
      <c r="D1" s="40" t="s">
        <v>34</v>
      </c>
      <c r="E1" s="40" t="s">
        <v>66</v>
      </c>
      <c r="F1" s="40" t="s">
        <v>53</v>
      </c>
      <c r="G1" s="40" t="s">
        <v>67</v>
      </c>
      <c r="H1" s="40" t="s">
        <v>52</v>
      </c>
      <c r="I1" s="40" t="s">
        <v>68</v>
      </c>
      <c r="J1" s="40" t="s">
        <v>69</v>
      </c>
      <c r="K1" s="40" t="s">
        <v>70</v>
      </c>
      <c r="L1" s="40" t="s">
        <v>20</v>
      </c>
      <c r="M1" s="40" t="s">
        <v>71</v>
      </c>
      <c r="N1" s="40" t="s">
        <v>72</v>
      </c>
      <c r="O1" s="40" t="s">
        <v>73</v>
      </c>
      <c r="P1" s="40" t="s">
        <v>74</v>
      </c>
      <c r="Q1" s="40" t="s">
        <v>75</v>
      </c>
      <c r="R1" s="40" t="s">
        <v>76</v>
      </c>
      <c r="S1" s="40" t="s">
        <v>77</v>
      </c>
      <c r="T1" s="40" t="s">
        <v>78</v>
      </c>
      <c r="U1" s="40" t="s">
        <v>79</v>
      </c>
      <c r="V1" s="40" t="s">
        <v>80</v>
      </c>
      <c r="W1" s="40" t="s">
        <v>81</v>
      </c>
      <c r="X1" s="40" t="s">
        <v>82</v>
      </c>
      <c r="Y1" s="40" t="s">
        <v>83</v>
      </c>
    </row>
    <row r="2" customFormat="false" ht="15" hidden="false" customHeight="false" outlineLevel="0" collapsed="false">
      <c r="A2" s="41" t="s">
        <v>84</v>
      </c>
      <c r="B2" s="41" t="s">
        <v>85</v>
      </c>
      <c r="C2" s="41" t="str">
        <f aca="false">'Process Summary'!B4</f>
        <v>MEDIUM</v>
      </c>
      <c r="D2" s="41" t="str">
        <f aca="false">'Process Summary'!C4</f>
        <v>Developer 1</v>
      </c>
      <c r="E2" s="41" t="str">
        <f aca="false">IF(F2=100%,"Completed",IF(E3="On Hold","On Hold",IF(E4="On Hold","On Hold",IF(E5="On Hold","On Hold",IF(E6="On Hold","On Hold",IF(E7="On Hold","On Hold",IF(E8="On Hold","On Hold",IF(F2&gt;0%,"In Progress","Not Started"))))))))</f>
        <v>Not Started</v>
      </c>
      <c r="F2" s="42" t="n">
        <f aca="false">(F3*3+F4*5+F5+F6*IF(C2="LOW",13,IF(C2="MEDIUM",23,33))+F7*2+F8)/(12+IF(C2="LOW",13,IF(C2="MEDIUM",23,33)))</f>
        <v>0</v>
      </c>
      <c r="G2" s="43" t="n">
        <f aca="false">'Process Summary'!G4</f>
        <v>46187</v>
      </c>
      <c r="H2" s="43" t="n">
        <f aca="false">H8</f>
        <v>46223</v>
      </c>
      <c r="I2" s="43" t="str">
        <f aca="false">IF(COUNT(I3:I8)=0,"",MIN(I3:I8))</f>
        <v/>
      </c>
      <c r="J2" s="43" t="str">
        <f aca="false">IF(COUNT(J3:J8)=0,"",MAX(J3:J8))</f>
        <v/>
      </c>
      <c r="K2" s="41" t="n">
        <f aca="true">IF(E2="Cancelled","",IF(J2&lt;&gt;"",J2-H2,IF(AND(E2&lt;&gt;"Completed",TODAY()&gt;H2),TODAY()-H2,0)))</f>
        <v>10</v>
      </c>
      <c r="L2" s="41" t="str">
        <f aca="false">IF(E2="Cancelled","Gray",IF(E2="On Hold","Red",IF(E2="Completed",IF(K2&gt;5,"Red",IF(K2&gt;0,"Amber","Green")),IF(K2&gt;5,"Red",IF(K2&gt;0,"Amber","Green")))))</f>
        <v>Red</v>
      </c>
      <c r="M2" s="44"/>
      <c r="N2" s="44"/>
      <c r="O2" s="41" t="s">
        <v>86</v>
      </c>
      <c r="P2" s="41"/>
      <c r="Q2" s="41"/>
      <c r="R2" s="41" t="s">
        <v>87</v>
      </c>
      <c r="S2" s="44"/>
      <c r="T2" s="44"/>
      <c r="U2" s="41" t="s">
        <v>88</v>
      </c>
      <c r="V2" s="41"/>
      <c r="W2" s="41"/>
      <c r="X2" s="45" t="n">
        <v>46233.4534722222</v>
      </c>
      <c r="Y2" s="41" t="s">
        <v>89</v>
      </c>
    </row>
    <row r="3" customFormat="false" ht="15.75" hidden="false" customHeight="true" outlineLevel="0" collapsed="false">
      <c r="A3" s="46"/>
      <c r="B3" s="46" t="s">
        <v>22</v>
      </c>
      <c r="C3" s="46" t="str">
        <f aca="false">C2</f>
        <v>MEDIUM</v>
      </c>
      <c r="D3" s="46" t="str">
        <f aca="false">D2</f>
        <v>Developer 1</v>
      </c>
      <c r="E3" s="34" t="s">
        <v>9</v>
      </c>
      <c r="F3" s="47" t="n">
        <f aca="false">IF(E3="Completed",100%,IF(OR(E3="In Progress",E3="On Hold"),50%,0%))</f>
        <v>0</v>
      </c>
      <c r="G3" s="48" t="n">
        <f aca="false">G2</f>
        <v>46187</v>
      </c>
      <c r="H3" s="48" t="n">
        <f aca="false">G3+(Settings!$B$5)-1+2*INT((WEEKDAY(G3,1)-1+(Settings!$B$5)-1)/5)</f>
        <v>46189</v>
      </c>
      <c r="I3" s="49"/>
      <c r="J3" s="49"/>
      <c r="K3" s="46" t="n">
        <f aca="true">IF(E3="Cancelled","",IF(J3&lt;&gt;"",J3-H3,IF(AND(E3&lt;&gt;"Completed",TODAY()&gt;H3),TODAY()-H3,0)))</f>
        <v>44</v>
      </c>
      <c r="L3" s="46" t="str">
        <f aca="false">IF(E3="Cancelled","Gray",IF(E3="On Hold","Red",IF(E3="Completed",IF(K3&gt;5,"Red",IF(K3&gt;0,"Amber","Green")),IF(K3&gt;5,"Red",IF(K3&gt;0,"Amber","Green")))))</f>
        <v>Red</v>
      </c>
      <c r="M3" s="50" t="s">
        <v>90</v>
      </c>
      <c r="N3" s="50"/>
      <c r="O3" s="34" t="str">
        <f aca="false">$O$2</f>
        <v>RPA-001</v>
      </c>
      <c r="P3" s="34"/>
      <c r="Q3" s="51"/>
      <c r="R3" s="34" t="s">
        <v>87</v>
      </c>
      <c r="S3" s="50"/>
      <c r="T3" s="50"/>
      <c r="U3" s="51" t="str">
        <f aca="false">$U$2</f>
        <v>Medium</v>
      </c>
      <c r="V3" s="51" t="str">
        <f aca="false">IF($V$2="","",$V$2)</f>
        <v/>
      </c>
      <c r="W3" s="34" t="str">
        <f aca="false">IF($W$2="","",$W$2)</f>
        <v/>
      </c>
      <c r="X3" s="52" t="n">
        <v>46233.4534722222</v>
      </c>
      <c r="Y3" s="51" t="str">
        <f aca="false">IF($Y$2="","",$Y$2)</f>
        <v>Project Manager</v>
      </c>
    </row>
    <row r="4" customFormat="false" ht="15.75" hidden="false" customHeight="true" outlineLevel="0" collapsed="false">
      <c r="A4" s="46"/>
      <c r="B4" s="46" t="s">
        <v>24</v>
      </c>
      <c r="C4" s="46" t="str">
        <f aca="false">C2</f>
        <v>MEDIUM</v>
      </c>
      <c r="D4" s="46" t="str">
        <f aca="false">D2</f>
        <v>Developer 1</v>
      </c>
      <c r="E4" s="34" t="s">
        <v>9</v>
      </c>
      <c r="F4" s="47" t="n">
        <f aca="false">IF(E4="Completed",100%,IF(OR(E4="In Progress",E4="On Hold"),50%,0%))</f>
        <v>0</v>
      </c>
      <c r="G4" s="48" t="n">
        <f aca="false">H3+1+2*INT((WEEKDAY(H3,1)-1+1)/5)</f>
        <v>46190</v>
      </c>
      <c r="H4" s="48" t="n">
        <f aca="false">G4+(Settings!$B$6)-1+2*INT((WEEKDAY(G4,1)-1+(Settings!$B$6)-1)/5)</f>
        <v>46196</v>
      </c>
      <c r="I4" s="49"/>
      <c r="J4" s="49"/>
      <c r="K4" s="46" t="n">
        <f aca="true">IF(E4="Cancelled","",IF(J4&lt;&gt;"",J4-H4,IF(AND(E4&lt;&gt;"Completed",TODAY()&gt;H4),TODAY()-H4,0)))</f>
        <v>37</v>
      </c>
      <c r="L4" s="46" t="str">
        <f aca="false">IF(E4="Cancelled","Gray",IF(E4="On Hold","Red",IF(E4="Completed",IF(K4&gt;5,"Red",IF(K4&gt;0,"Amber","Green")),IF(K4&gt;5,"Red",IF(K4&gt;0,"Amber","Green")))))</f>
        <v>Red</v>
      </c>
      <c r="M4" s="50" t="s">
        <v>90</v>
      </c>
      <c r="N4" s="50"/>
      <c r="O4" s="34" t="str">
        <f aca="false">$O$2</f>
        <v>RPA-001</v>
      </c>
      <c r="P4" s="34"/>
      <c r="Q4" s="51"/>
      <c r="R4" s="34" t="s">
        <v>87</v>
      </c>
      <c r="S4" s="50"/>
      <c r="T4" s="50"/>
      <c r="U4" s="51" t="str">
        <f aca="false">$U$2</f>
        <v>Medium</v>
      </c>
      <c r="V4" s="51" t="str">
        <f aca="false">IF($V$2="","",$V$2)</f>
        <v/>
      </c>
      <c r="W4" s="34" t="str">
        <f aca="false">IF($W$2="","",$W$2)</f>
        <v/>
      </c>
      <c r="X4" s="52" t="n">
        <v>46233.4534722222</v>
      </c>
      <c r="Y4" s="51" t="str">
        <f aca="false">IF($Y$2="","",$Y$2)</f>
        <v>Project Manager</v>
      </c>
    </row>
    <row r="5" customFormat="false" ht="15.75" hidden="false" customHeight="true" outlineLevel="0" collapsed="false">
      <c r="A5" s="46"/>
      <c r="B5" s="46" t="s">
        <v>26</v>
      </c>
      <c r="C5" s="46" t="str">
        <f aca="false">C2</f>
        <v>MEDIUM</v>
      </c>
      <c r="D5" s="46" t="str">
        <f aca="false">D2</f>
        <v>Developer 1</v>
      </c>
      <c r="E5" s="34" t="s">
        <v>9</v>
      </c>
      <c r="F5" s="47" t="n">
        <f aca="false">IF(E5="Completed",100%,IF(OR(E5="In Progress",E5="On Hold"),50%,0%))</f>
        <v>0</v>
      </c>
      <c r="G5" s="48" t="n">
        <f aca="false">H4+1+2*INT((WEEKDAY(H4,1)-1+1)/5)</f>
        <v>46197</v>
      </c>
      <c r="H5" s="48" t="n">
        <f aca="false">G5+(Settings!$B$7)-1+2*INT((WEEKDAY(G5,1)-1+(Settings!$B$7)-1)/5)</f>
        <v>46197</v>
      </c>
      <c r="I5" s="49"/>
      <c r="J5" s="49"/>
      <c r="K5" s="46" t="n">
        <f aca="true">IF(E5="Cancelled","",IF(J5&lt;&gt;"",J5-H5,IF(AND(E5&lt;&gt;"Completed",TODAY()&gt;H5),TODAY()-H5,0)))</f>
        <v>36</v>
      </c>
      <c r="L5" s="46" t="str">
        <f aca="false">IF(E5="Cancelled","Gray",IF(E5="On Hold","Red",IF(E5="Completed",IF(K5&gt;5,"Red",IF(K5&gt;0,"Amber","Green")),IF(K5&gt;5,"Red",IF(K5&gt;0,"Amber","Green")))))</f>
        <v>Red</v>
      </c>
      <c r="M5" s="50" t="s">
        <v>91</v>
      </c>
      <c r="N5" s="50"/>
      <c r="O5" s="34" t="str">
        <f aca="false">$O$2</f>
        <v>RPA-001</v>
      </c>
      <c r="P5" s="34"/>
      <c r="Q5" s="51"/>
      <c r="R5" s="34" t="s">
        <v>87</v>
      </c>
      <c r="S5" s="50"/>
      <c r="T5" s="50"/>
      <c r="U5" s="51" t="str">
        <f aca="false">$U$2</f>
        <v>Medium</v>
      </c>
      <c r="V5" s="51" t="str">
        <f aca="false">IF($V$2="","",$V$2)</f>
        <v/>
      </c>
      <c r="W5" s="34" t="str">
        <f aca="false">IF($W$2="","",$W$2)</f>
        <v/>
      </c>
      <c r="X5" s="52" t="n">
        <v>46233.4534722222</v>
      </c>
      <c r="Y5" s="51" t="str">
        <f aca="false">IF($Y$2="","",$Y$2)</f>
        <v>Project Manager</v>
      </c>
    </row>
    <row r="6" customFormat="false" ht="15.75" hidden="false" customHeight="true" outlineLevel="0" collapsed="false">
      <c r="A6" s="46"/>
      <c r="B6" s="46" t="s">
        <v>28</v>
      </c>
      <c r="C6" s="46" t="str">
        <f aca="false">C2</f>
        <v>MEDIUM</v>
      </c>
      <c r="D6" s="46" t="str">
        <f aca="false">D2</f>
        <v>Developer 1</v>
      </c>
      <c r="E6" s="34" t="s">
        <v>9</v>
      </c>
      <c r="F6" s="47" t="n">
        <f aca="false">IF(E6="Completed",100%,IF(OR(E6="In Progress",E6="On Hold"),50%,0%))</f>
        <v>0</v>
      </c>
      <c r="G6" s="48" t="n">
        <f aca="false">H5+1+2*INT((WEEKDAY(H5,1)-1+1)/5)</f>
        <v>46198</v>
      </c>
      <c r="H6" s="48" t="n">
        <f aca="false">G6+(IF(C6="LOW",Settings!$B$8,IF(C6="MEDIUM",Settings!$B$9,Settings!$B$10)))-1+2*INT((WEEKDAY(G6,1)-1+(IF(C6="LOW",Settings!$B$8,IF(C6="MEDIUM",Settings!$B$9,Settings!$B$10)))-1)/5)</f>
        <v>46218</v>
      </c>
      <c r="I6" s="49"/>
      <c r="J6" s="49"/>
      <c r="K6" s="46" t="n">
        <f aca="true">IF(E6="Cancelled","",IF(J6&lt;&gt;"",J6-H6,IF(AND(E6&lt;&gt;"Completed",TODAY()&gt;H6),TODAY()-H6,0)))</f>
        <v>15</v>
      </c>
      <c r="L6" s="46" t="str">
        <f aca="false">IF(E6="Cancelled","Gray",IF(E6="On Hold","Red",IF(E6="Completed",IF(K6&gt;5,"Red",IF(K6&gt;0,"Amber","Green")),IF(K6&gt;5,"Red",IF(K6&gt;0,"Amber","Green")))))</f>
        <v>Red</v>
      </c>
      <c r="M6" s="50" t="s">
        <v>92</v>
      </c>
      <c r="N6" s="50"/>
      <c r="O6" s="34" t="str">
        <f aca="false">$O$2</f>
        <v>RPA-001</v>
      </c>
      <c r="P6" s="34"/>
      <c r="Q6" s="51"/>
      <c r="R6" s="34" t="s">
        <v>87</v>
      </c>
      <c r="S6" s="50"/>
      <c r="T6" s="50"/>
      <c r="U6" s="51" t="str">
        <f aca="false">$U$2</f>
        <v>Medium</v>
      </c>
      <c r="V6" s="51" t="str">
        <f aca="false">IF($V$2="","",$V$2)</f>
        <v/>
      </c>
      <c r="W6" s="34" t="str">
        <f aca="false">IF($W$2="","",$W$2)</f>
        <v/>
      </c>
      <c r="X6" s="52" t="n">
        <v>46233.4534722222</v>
      </c>
      <c r="Y6" s="51" t="str">
        <f aca="false">IF($Y$2="","",$Y$2)</f>
        <v>Project Manager</v>
      </c>
    </row>
    <row r="7" customFormat="false" ht="15.75" hidden="false" customHeight="true" outlineLevel="0" collapsed="false">
      <c r="A7" s="46"/>
      <c r="B7" s="46" t="s">
        <v>30</v>
      </c>
      <c r="C7" s="46" t="str">
        <f aca="false">C2</f>
        <v>MEDIUM</v>
      </c>
      <c r="D7" s="46" t="str">
        <f aca="false">D2</f>
        <v>Developer 1</v>
      </c>
      <c r="E7" s="34" t="s">
        <v>9</v>
      </c>
      <c r="F7" s="47" t="n">
        <f aca="false">IF(E7="Completed",100%,IF(OR(E7="In Progress",E7="On Hold"),50%,0%))</f>
        <v>0</v>
      </c>
      <c r="G7" s="48" t="n">
        <f aca="false">H6+1+2*INT((WEEKDAY(H6,1)-1+1)/5)</f>
        <v>46219</v>
      </c>
      <c r="H7" s="48" t="n">
        <f aca="false">G7+(Settings!$B$11)-1+2*INT((WEEKDAY(G7,1)-1+(Settings!$B$11)-1)/5)</f>
        <v>46222</v>
      </c>
      <c r="I7" s="49"/>
      <c r="J7" s="49"/>
      <c r="K7" s="46" t="n">
        <f aca="true">IF(E7="Cancelled","",IF(J7&lt;&gt;"",J7-H7,IF(AND(E7&lt;&gt;"Completed",TODAY()&gt;H7),TODAY()-H7,0)))</f>
        <v>11</v>
      </c>
      <c r="L7" s="46" t="str">
        <f aca="false">IF(E7="Cancelled","Gray",IF(E7="On Hold","Red",IF(E7="Completed",IF(K7&gt;5,"Red",IF(K7&gt;0,"Amber","Green")),IF(K7&gt;5,"Red",IF(K7&gt;0,"Amber","Green")))))</f>
        <v>Red</v>
      </c>
      <c r="M7" s="50" t="s">
        <v>93</v>
      </c>
      <c r="N7" s="50"/>
      <c r="O7" s="34" t="str">
        <f aca="false">$O$2</f>
        <v>RPA-001</v>
      </c>
      <c r="P7" s="34"/>
      <c r="Q7" s="51"/>
      <c r="R7" s="34" t="s">
        <v>87</v>
      </c>
      <c r="S7" s="50"/>
      <c r="T7" s="50"/>
      <c r="U7" s="51" t="str">
        <f aca="false">$U$2</f>
        <v>Medium</v>
      </c>
      <c r="V7" s="51" t="str">
        <f aca="false">IF($V$2="","",$V$2)</f>
        <v/>
      </c>
      <c r="W7" s="34" t="str">
        <f aca="false">IF($W$2="","",$W$2)</f>
        <v/>
      </c>
      <c r="X7" s="52" t="n">
        <v>46233.4534722222</v>
      </c>
      <c r="Y7" s="51" t="str">
        <f aca="false">IF($Y$2="","",$Y$2)</f>
        <v>Project Manager</v>
      </c>
    </row>
    <row r="8" customFormat="false" ht="15.75" hidden="false" customHeight="true" outlineLevel="0" collapsed="false">
      <c r="A8" s="46"/>
      <c r="B8" s="46" t="s">
        <v>31</v>
      </c>
      <c r="C8" s="46" t="str">
        <f aca="false">C2</f>
        <v>MEDIUM</v>
      </c>
      <c r="D8" s="46" t="str">
        <f aca="false">D2</f>
        <v>Developer 1</v>
      </c>
      <c r="E8" s="34" t="s">
        <v>9</v>
      </c>
      <c r="F8" s="47" t="n">
        <f aca="false">IF(E8="Completed",100%,IF(OR(E8="In Progress",E8="On Hold"),50%,0%))</f>
        <v>0</v>
      </c>
      <c r="G8" s="48" t="n">
        <f aca="false">H7+1+2*INT((WEEKDAY(H7,1)-1+1)/5)</f>
        <v>46223</v>
      </c>
      <c r="H8" s="48" t="n">
        <f aca="false">G8+(Settings!$B$12)-1+2*INT((WEEKDAY(G8,1)-1+(Settings!$B$12)-1)/5)</f>
        <v>46223</v>
      </c>
      <c r="I8" s="49"/>
      <c r="J8" s="49"/>
      <c r="K8" s="46" t="n">
        <f aca="true">IF(E8="Cancelled","",IF(J8&lt;&gt;"",J8-H8,IF(AND(E8&lt;&gt;"Completed",TODAY()&gt;H8),TODAY()-H8,0)))</f>
        <v>10</v>
      </c>
      <c r="L8" s="46" t="str">
        <f aca="false">IF(E8="Cancelled","Gray",IF(E8="On Hold","Red",IF(E8="Completed",IF(K8&gt;5,"Red",IF(K8&gt;0,"Amber","Green")),IF(K8&gt;5,"Red",IF(K8&gt;0,"Amber","Green")))))</f>
        <v>Red</v>
      </c>
      <c r="M8" s="50" t="s">
        <v>92</v>
      </c>
      <c r="N8" s="50"/>
      <c r="O8" s="34" t="str">
        <f aca="false">$O$2</f>
        <v>RPA-001</v>
      </c>
      <c r="P8" s="34"/>
      <c r="Q8" s="51"/>
      <c r="R8" s="34" t="s">
        <v>87</v>
      </c>
      <c r="S8" s="50"/>
      <c r="T8" s="50"/>
      <c r="U8" s="51" t="str">
        <f aca="false">$U$2</f>
        <v>Medium</v>
      </c>
      <c r="V8" s="51" t="str">
        <f aca="false">IF($V$2="","",$V$2)</f>
        <v/>
      </c>
      <c r="W8" s="34" t="str">
        <f aca="false">IF($W$2="","",$W$2)</f>
        <v/>
      </c>
      <c r="X8" s="52" t="n">
        <v>46233.4534722222</v>
      </c>
      <c r="Y8" s="51" t="str">
        <f aca="false">IF($Y$2="","",$Y$2)</f>
        <v>Project Manager</v>
      </c>
    </row>
    <row r="9" customFormat="false" ht="15" hidden="false" customHeight="false" outlineLevel="0" collapsed="false">
      <c r="A9" s="41" t="s">
        <v>54</v>
      </c>
      <c r="B9" s="41" t="s">
        <v>85</v>
      </c>
      <c r="C9" s="41" t="str">
        <f aca="false">'Process Summary'!B5</f>
        <v>LOW</v>
      </c>
      <c r="D9" s="41" t="str">
        <f aca="false">'Process Summary'!C5</f>
        <v>Developer 2</v>
      </c>
      <c r="E9" s="41" t="str">
        <f aca="false">IF(F9=100%,"Completed",IF(E10="On Hold","On Hold",IF(E11="On Hold","On Hold",IF(E12="On Hold","On Hold",IF(E13="On Hold","On Hold",IF(E14="On Hold","On Hold",IF(E15="On Hold","On Hold",IF(F9&gt;0%,"In Progress","Not Started"))))))))</f>
        <v>Not Started</v>
      </c>
      <c r="F9" s="42" t="n">
        <f aca="false">(F10*3+F11*5+F12+F13*IF(C9="LOW",13,IF(C9="MEDIUM",23,33))+F14*2+F15)/(12+IF(C9="LOW",13,IF(C9="MEDIUM",23,33)))</f>
        <v>0</v>
      </c>
      <c r="G9" s="43" t="n">
        <f aca="false">'Process Summary'!G5</f>
        <v>46187</v>
      </c>
      <c r="H9" s="43" t="n">
        <f aca="false">H15</f>
        <v>46216</v>
      </c>
      <c r="I9" s="43" t="str">
        <f aca="false">IF(COUNT(I10:I15)=0,"",MIN(I10:I15))</f>
        <v/>
      </c>
      <c r="J9" s="43" t="str">
        <f aca="false">IF(COUNT(J10:J15)=0,"",MAX(J10:J15))</f>
        <v/>
      </c>
      <c r="K9" s="41" t="n">
        <f aca="true">IF(E9="Cancelled","",IF(J9&lt;&gt;"",J9-H9,IF(AND(E9&lt;&gt;"Completed",TODAY()&gt;H9),TODAY()-H9,0)))</f>
        <v>17</v>
      </c>
      <c r="L9" s="41" t="str">
        <f aca="false">IF(E9="Cancelled","Gray",IF(E9="On Hold","Red",IF(E9="Completed",IF(K9&gt;5,"Red",IF(K9&gt;0,"Amber","Green")),IF(K9&gt;5,"Red",IF(K9&gt;0,"Amber","Green")))))</f>
        <v>Red</v>
      </c>
      <c r="M9" s="44"/>
      <c r="N9" s="44"/>
      <c r="O9" s="41" t="s">
        <v>94</v>
      </c>
      <c r="P9" s="41"/>
      <c r="Q9" s="41"/>
      <c r="R9" s="41" t="s">
        <v>87</v>
      </c>
      <c r="S9" s="44"/>
      <c r="T9" s="44"/>
      <c r="U9" s="41" t="s">
        <v>88</v>
      </c>
      <c r="V9" s="41"/>
      <c r="W9" s="41"/>
      <c r="X9" s="45" t="n">
        <v>46233.4534722222</v>
      </c>
      <c r="Y9" s="41" t="s">
        <v>89</v>
      </c>
    </row>
    <row r="10" customFormat="false" ht="15.75" hidden="false" customHeight="true" outlineLevel="0" collapsed="false">
      <c r="A10" s="51"/>
      <c r="B10" s="51" t="s">
        <v>22</v>
      </c>
      <c r="C10" s="51" t="str">
        <f aca="false">C9</f>
        <v>LOW</v>
      </c>
      <c r="D10" s="51" t="str">
        <f aca="false">D9</f>
        <v>Developer 2</v>
      </c>
      <c r="E10" s="34" t="s">
        <v>9</v>
      </c>
      <c r="F10" s="53" t="n">
        <f aca="false">IF(E10="Completed",100%,IF(OR(E10="In Progress",E10="On Hold"),50%,0%))</f>
        <v>0</v>
      </c>
      <c r="G10" s="49" t="n">
        <f aca="false">G9</f>
        <v>46187</v>
      </c>
      <c r="H10" s="49" t="n">
        <f aca="false">G10+(Settings!$B$5)-1+2*INT((WEEKDAY(G10,1)-1+(Settings!$B$5)-1)/5)</f>
        <v>46189</v>
      </c>
      <c r="I10" s="49"/>
      <c r="J10" s="49"/>
      <c r="K10" s="51" t="n">
        <f aca="true">IF(E10="Cancelled","",IF(J10&lt;&gt;"",J10-H10,IF(AND(E10&lt;&gt;"Completed",TODAY()&gt;H10),TODAY()-H10,0)))</f>
        <v>44</v>
      </c>
      <c r="L10" s="51" t="str">
        <f aca="false">IF(E10="Cancelled","Gray",IF(E10="On Hold","Red",IF(E10="Completed",IF(K10&gt;5,"Red",IF(K10&gt;0,"Amber","Green")),IF(K10&gt;5,"Red",IF(K10&gt;0,"Amber","Green")))))</f>
        <v>Red</v>
      </c>
      <c r="M10" s="50" t="s">
        <v>90</v>
      </c>
      <c r="N10" s="50"/>
      <c r="O10" s="34" t="str">
        <f aca="false">$O$9</f>
        <v>RPA-002</v>
      </c>
      <c r="P10" s="34"/>
      <c r="Q10" s="51"/>
      <c r="R10" s="34" t="s">
        <v>87</v>
      </c>
      <c r="S10" s="50"/>
      <c r="T10" s="50"/>
      <c r="U10" s="51" t="str">
        <f aca="false">$U$9</f>
        <v>Medium</v>
      </c>
      <c r="V10" s="51" t="str">
        <f aca="false">IF($V$9="","",$V$9)</f>
        <v/>
      </c>
      <c r="W10" s="34" t="str">
        <f aca="false">IF($W$9="","",$W$9)</f>
        <v/>
      </c>
      <c r="X10" s="52" t="n">
        <v>46233.4534722222</v>
      </c>
      <c r="Y10" s="51" t="str">
        <f aca="false">IF($Y$9="","",$Y$9)</f>
        <v>Project Manager</v>
      </c>
    </row>
    <row r="11" customFormat="false" ht="15.75" hidden="false" customHeight="true" outlineLevel="0" collapsed="false">
      <c r="A11" s="51"/>
      <c r="B11" s="51" t="s">
        <v>24</v>
      </c>
      <c r="C11" s="51" t="str">
        <f aca="false">C9</f>
        <v>LOW</v>
      </c>
      <c r="D11" s="51" t="str">
        <f aca="false">D9</f>
        <v>Developer 2</v>
      </c>
      <c r="E11" s="34" t="s">
        <v>9</v>
      </c>
      <c r="F11" s="53" t="n">
        <f aca="false">IF(E11="Completed",100%,IF(OR(E11="In Progress",E11="On Hold"),50%,0%))</f>
        <v>0</v>
      </c>
      <c r="G11" s="49" t="n">
        <f aca="false">H10+1+2*INT((WEEKDAY(H10,1)-1+1)/5)</f>
        <v>46190</v>
      </c>
      <c r="H11" s="49" t="n">
        <f aca="false">G11+(Settings!$B$6)-1+2*INT((WEEKDAY(G11,1)-1+(Settings!$B$6)-1)/5)</f>
        <v>46196</v>
      </c>
      <c r="I11" s="49"/>
      <c r="J11" s="49"/>
      <c r="K11" s="51" t="n">
        <f aca="true">IF(E11="Cancelled","",IF(J11&lt;&gt;"",J11-H11,IF(AND(E11&lt;&gt;"Completed",TODAY()&gt;H11),TODAY()-H11,0)))</f>
        <v>37</v>
      </c>
      <c r="L11" s="51" t="str">
        <f aca="false">IF(E11="Cancelled","Gray",IF(E11="On Hold","Red",IF(E11="Completed",IF(K11&gt;5,"Red",IF(K11&gt;0,"Amber","Green")),IF(K11&gt;5,"Red",IF(K11&gt;0,"Amber","Green")))))</f>
        <v>Red</v>
      </c>
      <c r="M11" s="50" t="s">
        <v>90</v>
      </c>
      <c r="N11" s="50"/>
      <c r="O11" s="34" t="str">
        <f aca="false">$O$9</f>
        <v>RPA-002</v>
      </c>
      <c r="P11" s="34"/>
      <c r="Q11" s="51"/>
      <c r="R11" s="34" t="s">
        <v>87</v>
      </c>
      <c r="S11" s="50"/>
      <c r="T11" s="50"/>
      <c r="U11" s="51" t="str">
        <f aca="false">$U$9</f>
        <v>Medium</v>
      </c>
      <c r="V11" s="51" t="str">
        <f aca="false">IF($V$9="","",$V$9)</f>
        <v/>
      </c>
      <c r="W11" s="34" t="str">
        <f aca="false">IF($W$9="","",$W$9)</f>
        <v/>
      </c>
      <c r="X11" s="52" t="n">
        <v>46233.4534722222</v>
      </c>
      <c r="Y11" s="51" t="str">
        <f aca="false">IF($Y$9="","",$Y$9)</f>
        <v>Project Manager</v>
      </c>
    </row>
    <row r="12" customFormat="false" ht="15.75" hidden="false" customHeight="true" outlineLevel="0" collapsed="false">
      <c r="A12" s="51"/>
      <c r="B12" s="51" t="s">
        <v>26</v>
      </c>
      <c r="C12" s="51" t="str">
        <f aca="false">C9</f>
        <v>LOW</v>
      </c>
      <c r="D12" s="51" t="str">
        <f aca="false">D9</f>
        <v>Developer 2</v>
      </c>
      <c r="E12" s="34" t="s">
        <v>9</v>
      </c>
      <c r="F12" s="53" t="n">
        <f aca="false">IF(E12="Completed",100%,IF(OR(E12="In Progress",E12="On Hold"),50%,0%))</f>
        <v>0</v>
      </c>
      <c r="G12" s="49" t="n">
        <f aca="false">H11+1+2*INT((WEEKDAY(H11,1)-1+1)/5)</f>
        <v>46197</v>
      </c>
      <c r="H12" s="49" t="n">
        <f aca="false">G12+(Settings!$B$7)-1+2*INT((WEEKDAY(G12,1)-1+(Settings!$B$7)-1)/5)</f>
        <v>46197</v>
      </c>
      <c r="I12" s="49"/>
      <c r="J12" s="49"/>
      <c r="K12" s="51" t="n">
        <f aca="true">IF(E12="Cancelled","",IF(J12&lt;&gt;"",J12-H12,IF(AND(E12&lt;&gt;"Completed",TODAY()&gt;H12),TODAY()-H12,0)))</f>
        <v>36</v>
      </c>
      <c r="L12" s="51" t="str">
        <f aca="false">IF(E12="Cancelled","Gray",IF(E12="On Hold","Red",IF(E12="Completed",IF(K12&gt;5,"Red",IF(K12&gt;0,"Amber","Green")),IF(K12&gt;5,"Red",IF(K12&gt;0,"Amber","Green")))))</f>
        <v>Red</v>
      </c>
      <c r="M12" s="50" t="s">
        <v>91</v>
      </c>
      <c r="N12" s="50"/>
      <c r="O12" s="34" t="str">
        <f aca="false">$O$9</f>
        <v>RPA-002</v>
      </c>
      <c r="P12" s="34"/>
      <c r="Q12" s="51"/>
      <c r="R12" s="34" t="s">
        <v>87</v>
      </c>
      <c r="S12" s="50"/>
      <c r="T12" s="50"/>
      <c r="U12" s="51" t="str">
        <f aca="false">$U$9</f>
        <v>Medium</v>
      </c>
      <c r="V12" s="51" t="str">
        <f aca="false">IF($V$9="","",$V$9)</f>
        <v/>
      </c>
      <c r="W12" s="34" t="str">
        <f aca="false">IF($W$9="","",$W$9)</f>
        <v/>
      </c>
      <c r="X12" s="52" t="n">
        <v>46233.4534722222</v>
      </c>
      <c r="Y12" s="51" t="str">
        <f aca="false">IF($Y$9="","",$Y$9)</f>
        <v>Project Manager</v>
      </c>
    </row>
    <row r="13" customFormat="false" ht="15.75" hidden="false" customHeight="true" outlineLevel="0" collapsed="false">
      <c r="A13" s="51"/>
      <c r="B13" s="51" t="s">
        <v>28</v>
      </c>
      <c r="C13" s="51" t="str">
        <f aca="false">C9</f>
        <v>LOW</v>
      </c>
      <c r="D13" s="51" t="str">
        <f aca="false">D9</f>
        <v>Developer 2</v>
      </c>
      <c r="E13" s="34" t="s">
        <v>9</v>
      </c>
      <c r="F13" s="53" t="n">
        <f aca="false">IF(E13="Completed",100%,IF(OR(E13="In Progress",E13="On Hold"),50%,0%))</f>
        <v>0</v>
      </c>
      <c r="G13" s="49" t="n">
        <f aca="false">H12+1+2*INT((WEEKDAY(H12,1)-1+1)/5)</f>
        <v>46198</v>
      </c>
      <c r="H13" s="49" t="n">
        <f aca="false">G13+(IF(C13="LOW",Settings!$B$8,IF(C13="MEDIUM",Settings!$B$9,Settings!$B$10)))-1+2*INT((WEEKDAY(G13,1)-1+(IF(C13="LOW",Settings!$B$8,IF(C13="MEDIUM",Settings!$B$9,Settings!$B$10)))-1)/5)</f>
        <v>46211</v>
      </c>
      <c r="I13" s="49"/>
      <c r="J13" s="49"/>
      <c r="K13" s="51" t="n">
        <f aca="true">IF(E13="Cancelled","",IF(J13&lt;&gt;"",J13-H13,IF(AND(E13&lt;&gt;"Completed",TODAY()&gt;H13),TODAY()-H13,0)))</f>
        <v>22</v>
      </c>
      <c r="L13" s="51" t="str">
        <f aca="false">IF(E13="Cancelled","Gray",IF(E13="On Hold","Red",IF(E13="Completed",IF(K13&gt;5,"Red",IF(K13&gt;0,"Amber","Green")),IF(K13&gt;5,"Red",IF(K13&gt;0,"Amber","Green")))))</f>
        <v>Red</v>
      </c>
      <c r="M13" s="50" t="s">
        <v>92</v>
      </c>
      <c r="N13" s="50"/>
      <c r="O13" s="34" t="str">
        <f aca="false">$O$9</f>
        <v>RPA-002</v>
      </c>
      <c r="P13" s="34"/>
      <c r="Q13" s="51"/>
      <c r="R13" s="34" t="s">
        <v>87</v>
      </c>
      <c r="S13" s="50"/>
      <c r="T13" s="50"/>
      <c r="U13" s="51" t="str">
        <f aca="false">$U$9</f>
        <v>Medium</v>
      </c>
      <c r="V13" s="51" t="str">
        <f aca="false">IF($V$9="","",$V$9)</f>
        <v/>
      </c>
      <c r="W13" s="34" t="str">
        <f aca="false">IF($W$9="","",$W$9)</f>
        <v/>
      </c>
      <c r="X13" s="52" t="n">
        <v>46233.4534722222</v>
      </c>
      <c r="Y13" s="51" t="str">
        <f aca="false">IF($Y$9="","",$Y$9)</f>
        <v>Project Manager</v>
      </c>
    </row>
    <row r="14" customFormat="false" ht="15.75" hidden="false" customHeight="true" outlineLevel="0" collapsed="false">
      <c r="A14" s="51"/>
      <c r="B14" s="51" t="s">
        <v>30</v>
      </c>
      <c r="C14" s="51" t="str">
        <f aca="false">C9</f>
        <v>LOW</v>
      </c>
      <c r="D14" s="51" t="str">
        <f aca="false">D9</f>
        <v>Developer 2</v>
      </c>
      <c r="E14" s="34" t="s">
        <v>9</v>
      </c>
      <c r="F14" s="53" t="n">
        <f aca="false">IF(E14="Completed",100%,IF(OR(E14="In Progress",E14="On Hold"),50%,0%))</f>
        <v>0</v>
      </c>
      <c r="G14" s="49" t="n">
        <f aca="false">H13+1+2*INT((WEEKDAY(H13,1)-1+1)/5)</f>
        <v>46212</v>
      </c>
      <c r="H14" s="49" t="n">
        <f aca="false">G14+(Settings!$B$11)-1+2*INT((WEEKDAY(G14,1)-1+(Settings!$B$11)-1)/5)</f>
        <v>46215</v>
      </c>
      <c r="I14" s="49"/>
      <c r="J14" s="49"/>
      <c r="K14" s="51" t="n">
        <f aca="true">IF(E14="Cancelled","",IF(J14&lt;&gt;"",J14-H14,IF(AND(E14&lt;&gt;"Completed",TODAY()&gt;H14),TODAY()-H14,0)))</f>
        <v>18</v>
      </c>
      <c r="L14" s="51" t="str">
        <f aca="false">IF(E14="Cancelled","Gray",IF(E14="On Hold","Red",IF(E14="Completed",IF(K14&gt;5,"Red",IF(K14&gt;0,"Amber","Green")),IF(K14&gt;5,"Red",IF(K14&gt;0,"Amber","Green")))))</f>
        <v>Red</v>
      </c>
      <c r="M14" s="50" t="s">
        <v>93</v>
      </c>
      <c r="N14" s="50"/>
      <c r="O14" s="34" t="str">
        <f aca="false">$O$9</f>
        <v>RPA-002</v>
      </c>
      <c r="P14" s="34"/>
      <c r="Q14" s="51"/>
      <c r="R14" s="34" t="s">
        <v>87</v>
      </c>
      <c r="S14" s="50"/>
      <c r="T14" s="50"/>
      <c r="U14" s="51" t="str">
        <f aca="false">$U$9</f>
        <v>Medium</v>
      </c>
      <c r="V14" s="51" t="str">
        <f aca="false">IF($V$9="","",$V$9)</f>
        <v/>
      </c>
      <c r="W14" s="34" t="str">
        <f aca="false">IF($W$9="","",$W$9)</f>
        <v/>
      </c>
      <c r="X14" s="52" t="n">
        <v>46233.4534722222</v>
      </c>
      <c r="Y14" s="51" t="str">
        <f aca="false">IF($Y$9="","",$Y$9)</f>
        <v>Project Manager</v>
      </c>
    </row>
    <row r="15" customFormat="false" ht="15.75" hidden="false" customHeight="true" outlineLevel="0" collapsed="false">
      <c r="A15" s="51"/>
      <c r="B15" s="51" t="s">
        <v>31</v>
      </c>
      <c r="C15" s="51" t="str">
        <f aca="false">C9</f>
        <v>LOW</v>
      </c>
      <c r="D15" s="51" t="str">
        <f aca="false">D9</f>
        <v>Developer 2</v>
      </c>
      <c r="E15" s="34" t="s">
        <v>9</v>
      </c>
      <c r="F15" s="53" t="n">
        <f aca="false">IF(E15="Completed",100%,IF(OR(E15="In Progress",E15="On Hold"),50%,0%))</f>
        <v>0</v>
      </c>
      <c r="G15" s="49" t="n">
        <f aca="false">H14+1+2*INT((WEEKDAY(H14,1)-1+1)/5)</f>
        <v>46216</v>
      </c>
      <c r="H15" s="49" t="n">
        <f aca="false">G15+(Settings!$B$12)-1+2*INT((WEEKDAY(G15,1)-1+(Settings!$B$12)-1)/5)</f>
        <v>46216</v>
      </c>
      <c r="I15" s="49"/>
      <c r="J15" s="49"/>
      <c r="K15" s="51" t="n">
        <f aca="true">IF(E15="Cancelled","",IF(J15&lt;&gt;"",J15-H15,IF(AND(E15&lt;&gt;"Completed",TODAY()&gt;H15),TODAY()-H15,0)))</f>
        <v>17</v>
      </c>
      <c r="L15" s="51" t="str">
        <f aca="false">IF(E15="Cancelled","Gray",IF(E15="On Hold","Red",IF(E15="Completed",IF(K15&gt;5,"Red",IF(K15&gt;0,"Amber","Green")),IF(K15&gt;5,"Red",IF(K15&gt;0,"Amber","Green")))))</f>
        <v>Red</v>
      </c>
      <c r="M15" s="50" t="s">
        <v>92</v>
      </c>
      <c r="N15" s="50"/>
      <c r="O15" s="34" t="str">
        <f aca="false">$O$9</f>
        <v>RPA-002</v>
      </c>
      <c r="P15" s="34"/>
      <c r="Q15" s="51"/>
      <c r="R15" s="34" t="s">
        <v>87</v>
      </c>
      <c r="S15" s="50"/>
      <c r="T15" s="50"/>
      <c r="U15" s="51" t="str">
        <f aca="false">$U$9</f>
        <v>Medium</v>
      </c>
      <c r="V15" s="51" t="str">
        <f aca="false">IF($V$9="","",$V$9)</f>
        <v/>
      </c>
      <c r="W15" s="34" t="str">
        <f aca="false">IF($W$9="","",$W$9)</f>
        <v/>
      </c>
      <c r="X15" s="52" t="n">
        <v>46233.4534722222</v>
      </c>
      <c r="Y15" s="51" t="str">
        <f aca="false">IF($Y$9="","",$Y$9)</f>
        <v>Project Manager</v>
      </c>
    </row>
    <row r="16" customFormat="false" ht="15" hidden="false" customHeight="false" outlineLevel="0" collapsed="false">
      <c r="A16" s="41" t="s">
        <v>84</v>
      </c>
      <c r="B16" s="41" t="s">
        <v>85</v>
      </c>
      <c r="C16" s="41" t="str">
        <f aca="false">'Process Summary'!B6</f>
        <v>MEDIUM</v>
      </c>
      <c r="D16" s="41" t="str">
        <f aca="false">'Process Summary'!C6</f>
        <v>Developer 3</v>
      </c>
      <c r="E16" s="41" t="str">
        <f aca="false">IF(F16=100%,"Completed",IF(E17="On Hold","On Hold",IF(E18="On Hold","On Hold",IF(E19="On Hold","On Hold",IF(E20="On Hold","On Hold",IF(E21="On Hold","On Hold",IF(E22="On Hold","On Hold",IF(F16&gt;0%,"In Progress","Not Started"))))))))</f>
        <v>Not Started</v>
      </c>
      <c r="F16" s="42" t="n">
        <f aca="false">(F17*3+F18*5+F19+F20*IF(C16="LOW",13,IF(C16="MEDIUM",23,33))+F21*2+F22)/(12+IF(C16="LOW",13,IF(C16="MEDIUM",23,33)))</f>
        <v>0</v>
      </c>
      <c r="G16" s="43" t="n">
        <f aca="false">'Process Summary'!G6</f>
        <v>46187</v>
      </c>
      <c r="H16" s="43" t="n">
        <f aca="false">H22</f>
        <v>46223</v>
      </c>
      <c r="I16" s="43" t="str">
        <f aca="false">IF(COUNT(I17:I22)=0,"",MIN(I17:I22))</f>
        <v/>
      </c>
      <c r="J16" s="43" t="str">
        <f aca="false">IF(COUNT(J17:J22)=0,"",MAX(J17:J22))</f>
        <v/>
      </c>
      <c r="K16" s="41" t="n">
        <f aca="true">IF(E16="Cancelled","",IF(J16&lt;&gt;"",J16-H16,IF(AND(E16&lt;&gt;"Completed",TODAY()&gt;H16),TODAY()-H16,0)))</f>
        <v>10</v>
      </c>
      <c r="L16" s="41" t="str">
        <f aca="false">IF(E16="Cancelled","Gray",IF(E16="On Hold","Red",IF(E16="Completed",IF(K16&gt;5,"Red",IF(K16&gt;0,"Amber","Green")),IF(K16&gt;5,"Red",IF(K16&gt;0,"Amber","Green")))))</f>
        <v>Red</v>
      </c>
      <c r="M16" s="44"/>
      <c r="N16" s="44"/>
      <c r="O16" s="41" t="s">
        <v>95</v>
      </c>
      <c r="P16" s="41"/>
      <c r="Q16" s="41"/>
      <c r="R16" s="41" t="s">
        <v>87</v>
      </c>
      <c r="S16" s="44"/>
      <c r="T16" s="44"/>
      <c r="U16" s="41" t="s">
        <v>88</v>
      </c>
      <c r="V16" s="41"/>
      <c r="W16" s="41"/>
      <c r="X16" s="45" t="n">
        <v>46233.4534722222</v>
      </c>
      <c r="Y16" s="41" t="s">
        <v>89</v>
      </c>
    </row>
    <row r="17" customFormat="false" ht="15.75" hidden="false" customHeight="true" outlineLevel="0" collapsed="false">
      <c r="A17" s="46"/>
      <c r="B17" s="46" t="s">
        <v>22</v>
      </c>
      <c r="C17" s="46" t="str">
        <f aca="false">C16</f>
        <v>MEDIUM</v>
      </c>
      <c r="D17" s="46" t="str">
        <f aca="false">D16</f>
        <v>Developer 3</v>
      </c>
      <c r="E17" s="34" t="s">
        <v>9</v>
      </c>
      <c r="F17" s="47" t="n">
        <f aca="false">IF(E17="Completed",100%,IF(OR(E17="In Progress",E17="On Hold"),50%,0%))</f>
        <v>0</v>
      </c>
      <c r="G17" s="48" t="n">
        <f aca="false">G16</f>
        <v>46187</v>
      </c>
      <c r="H17" s="48" t="n">
        <f aca="false">G17+(Settings!$B$5)-1+2*INT((WEEKDAY(G17,1)-1+(Settings!$B$5)-1)/5)</f>
        <v>46189</v>
      </c>
      <c r="I17" s="49"/>
      <c r="J17" s="49"/>
      <c r="K17" s="46" t="n">
        <f aca="true">IF(E17="Cancelled","",IF(J17&lt;&gt;"",J17-H17,IF(AND(E17&lt;&gt;"Completed",TODAY()&gt;H17),TODAY()-H17,0)))</f>
        <v>44</v>
      </c>
      <c r="L17" s="46" t="str">
        <f aca="false">IF(E17="Cancelled","Gray",IF(E17="On Hold","Red",IF(E17="Completed",IF(K17&gt;5,"Red",IF(K17&gt;0,"Amber","Green")),IF(K17&gt;5,"Red",IF(K17&gt;0,"Amber","Green")))))</f>
        <v>Red</v>
      </c>
      <c r="M17" s="50" t="s">
        <v>90</v>
      </c>
      <c r="N17" s="50"/>
      <c r="O17" s="34" t="str">
        <f aca="false">$O$16</f>
        <v>RPA-003</v>
      </c>
      <c r="P17" s="34"/>
      <c r="Q17" s="51"/>
      <c r="R17" s="34" t="s">
        <v>87</v>
      </c>
      <c r="S17" s="50"/>
      <c r="T17" s="50"/>
      <c r="U17" s="51" t="str">
        <f aca="false">$U$16</f>
        <v>Medium</v>
      </c>
      <c r="V17" s="51" t="str">
        <f aca="false">IF($V$16="","",$V$16)</f>
        <v/>
      </c>
      <c r="W17" s="34" t="str">
        <f aca="false">IF($W$16="","",$W$16)</f>
        <v/>
      </c>
      <c r="X17" s="52" t="n">
        <v>46233.4534722222</v>
      </c>
      <c r="Y17" s="51" t="str">
        <f aca="false">IF($Y$16="","",$Y$16)</f>
        <v>Project Manager</v>
      </c>
    </row>
    <row r="18" customFormat="false" ht="15.75" hidden="false" customHeight="true" outlineLevel="0" collapsed="false">
      <c r="A18" s="46"/>
      <c r="B18" s="46" t="s">
        <v>24</v>
      </c>
      <c r="C18" s="46" t="str">
        <f aca="false">C16</f>
        <v>MEDIUM</v>
      </c>
      <c r="D18" s="46" t="str">
        <f aca="false">D16</f>
        <v>Developer 3</v>
      </c>
      <c r="E18" s="34" t="s">
        <v>9</v>
      </c>
      <c r="F18" s="47" t="n">
        <f aca="false">IF(E18="Completed",100%,IF(OR(E18="In Progress",E18="On Hold"),50%,0%))</f>
        <v>0</v>
      </c>
      <c r="G18" s="48" t="n">
        <f aca="false">H17+1+2*INT((WEEKDAY(H17,1)-1+1)/5)</f>
        <v>46190</v>
      </c>
      <c r="H18" s="48" t="n">
        <f aca="false">G18+(Settings!$B$6)-1+2*INT((WEEKDAY(G18,1)-1+(Settings!$B$6)-1)/5)</f>
        <v>46196</v>
      </c>
      <c r="I18" s="49"/>
      <c r="J18" s="49"/>
      <c r="K18" s="46" t="n">
        <f aca="true">IF(E18="Cancelled","",IF(J18&lt;&gt;"",J18-H18,IF(AND(E18&lt;&gt;"Completed",TODAY()&gt;H18),TODAY()-H18,0)))</f>
        <v>37</v>
      </c>
      <c r="L18" s="46" t="str">
        <f aca="false">IF(E18="Cancelled","Gray",IF(E18="On Hold","Red",IF(E18="Completed",IF(K18&gt;5,"Red",IF(K18&gt;0,"Amber","Green")),IF(K18&gt;5,"Red",IF(K18&gt;0,"Amber","Green")))))</f>
        <v>Red</v>
      </c>
      <c r="M18" s="50" t="s">
        <v>90</v>
      </c>
      <c r="N18" s="50"/>
      <c r="O18" s="34" t="str">
        <f aca="false">$O$16</f>
        <v>RPA-003</v>
      </c>
      <c r="P18" s="34"/>
      <c r="Q18" s="51"/>
      <c r="R18" s="34" t="s">
        <v>87</v>
      </c>
      <c r="S18" s="50"/>
      <c r="T18" s="50"/>
      <c r="U18" s="51" t="str">
        <f aca="false">$U$16</f>
        <v>Medium</v>
      </c>
      <c r="V18" s="51" t="str">
        <f aca="false">IF($V$16="","",$V$16)</f>
        <v/>
      </c>
      <c r="W18" s="34" t="str">
        <f aca="false">IF($W$16="","",$W$16)</f>
        <v/>
      </c>
      <c r="X18" s="52" t="n">
        <v>46233.4534722222</v>
      </c>
      <c r="Y18" s="51" t="str">
        <f aca="false">IF($Y$16="","",$Y$16)</f>
        <v>Project Manager</v>
      </c>
    </row>
    <row r="19" customFormat="false" ht="15.75" hidden="false" customHeight="true" outlineLevel="0" collapsed="false">
      <c r="A19" s="46"/>
      <c r="B19" s="46" t="s">
        <v>26</v>
      </c>
      <c r="C19" s="46" t="str">
        <f aca="false">C16</f>
        <v>MEDIUM</v>
      </c>
      <c r="D19" s="46" t="str">
        <f aca="false">D16</f>
        <v>Developer 3</v>
      </c>
      <c r="E19" s="34" t="s">
        <v>9</v>
      </c>
      <c r="F19" s="47" t="n">
        <f aca="false">IF(E19="Completed",100%,IF(OR(E19="In Progress",E19="On Hold"),50%,0%))</f>
        <v>0</v>
      </c>
      <c r="G19" s="48" t="n">
        <f aca="false">H18+1+2*INT((WEEKDAY(H18,1)-1+1)/5)</f>
        <v>46197</v>
      </c>
      <c r="H19" s="48" t="n">
        <f aca="false">G19+(Settings!$B$7)-1+2*INT((WEEKDAY(G19,1)-1+(Settings!$B$7)-1)/5)</f>
        <v>46197</v>
      </c>
      <c r="I19" s="49"/>
      <c r="J19" s="49"/>
      <c r="K19" s="46" t="n">
        <f aca="true">IF(E19="Cancelled","",IF(J19&lt;&gt;"",J19-H19,IF(AND(E19&lt;&gt;"Completed",TODAY()&gt;H19),TODAY()-H19,0)))</f>
        <v>36</v>
      </c>
      <c r="L19" s="46" t="str">
        <f aca="false">IF(E19="Cancelled","Gray",IF(E19="On Hold","Red",IF(E19="Completed",IF(K19&gt;5,"Red",IF(K19&gt;0,"Amber","Green")),IF(K19&gt;5,"Red",IF(K19&gt;0,"Amber","Green")))))</f>
        <v>Red</v>
      </c>
      <c r="M19" s="50" t="s">
        <v>91</v>
      </c>
      <c r="N19" s="50"/>
      <c r="O19" s="34" t="str">
        <f aca="false">$O$16</f>
        <v>RPA-003</v>
      </c>
      <c r="P19" s="34"/>
      <c r="Q19" s="51"/>
      <c r="R19" s="34" t="s">
        <v>87</v>
      </c>
      <c r="S19" s="50"/>
      <c r="T19" s="50"/>
      <c r="U19" s="51" t="str">
        <f aca="false">$U$16</f>
        <v>Medium</v>
      </c>
      <c r="V19" s="51" t="str">
        <f aca="false">IF($V$16="","",$V$16)</f>
        <v/>
      </c>
      <c r="W19" s="34" t="str">
        <f aca="false">IF($W$16="","",$W$16)</f>
        <v/>
      </c>
      <c r="X19" s="52" t="n">
        <v>46233.4534722222</v>
      </c>
      <c r="Y19" s="51" t="str">
        <f aca="false">IF($Y$16="","",$Y$16)</f>
        <v>Project Manager</v>
      </c>
    </row>
    <row r="20" customFormat="false" ht="15.75" hidden="false" customHeight="true" outlineLevel="0" collapsed="false">
      <c r="A20" s="46"/>
      <c r="B20" s="46" t="s">
        <v>28</v>
      </c>
      <c r="C20" s="46" t="str">
        <f aca="false">C16</f>
        <v>MEDIUM</v>
      </c>
      <c r="D20" s="46" t="str">
        <f aca="false">D16</f>
        <v>Developer 3</v>
      </c>
      <c r="E20" s="34" t="s">
        <v>9</v>
      </c>
      <c r="F20" s="47" t="n">
        <f aca="false">IF(E20="Completed",100%,IF(OR(E20="In Progress",E20="On Hold"),50%,0%))</f>
        <v>0</v>
      </c>
      <c r="G20" s="48" t="n">
        <f aca="false">H19+1+2*INT((WEEKDAY(H19,1)-1+1)/5)</f>
        <v>46198</v>
      </c>
      <c r="H20" s="48" t="n">
        <f aca="false">G20+(IF(C20="LOW",Settings!$B$8,IF(C20="MEDIUM",Settings!$B$9,Settings!$B$10)))-1+2*INT((WEEKDAY(G20,1)-1+(IF(C20="LOW",Settings!$B$8,IF(C20="MEDIUM",Settings!$B$9,Settings!$B$10)))-1)/5)</f>
        <v>46218</v>
      </c>
      <c r="I20" s="49"/>
      <c r="J20" s="49"/>
      <c r="K20" s="46" t="n">
        <f aca="true">IF(E20="Cancelled","",IF(J20&lt;&gt;"",J20-H20,IF(AND(E20&lt;&gt;"Completed",TODAY()&gt;H20),TODAY()-H20,0)))</f>
        <v>15</v>
      </c>
      <c r="L20" s="46" t="str">
        <f aca="false">IF(E20="Cancelled","Gray",IF(E20="On Hold","Red",IF(E20="Completed",IF(K20&gt;5,"Red",IF(K20&gt;0,"Amber","Green")),IF(K20&gt;5,"Red",IF(K20&gt;0,"Amber","Green")))))</f>
        <v>Red</v>
      </c>
      <c r="M20" s="50" t="s">
        <v>92</v>
      </c>
      <c r="N20" s="50"/>
      <c r="O20" s="34" t="str">
        <f aca="false">$O$16</f>
        <v>RPA-003</v>
      </c>
      <c r="P20" s="34"/>
      <c r="Q20" s="51"/>
      <c r="R20" s="34" t="s">
        <v>87</v>
      </c>
      <c r="S20" s="50"/>
      <c r="T20" s="50"/>
      <c r="U20" s="51" t="str">
        <f aca="false">$U$16</f>
        <v>Medium</v>
      </c>
      <c r="V20" s="51" t="str">
        <f aca="false">IF($V$16="","",$V$16)</f>
        <v/>
      </c>
      <c r="W20" s="34" t="str">
        <f aca="false">IF($W$16="","",$W$16)</f>
        <v/>
      </c>
      <c r="X20" s="52" t="n">
        <v>46233.4534722222</v>
      </c>
      <c r="Y20" s="51" t="str">
        <f aca="false">IF($Y$16="","",$Y$16)</f>
        <v>Project Manager</v>
      </c>
    </row>
    <row r="21" customFormat="false" ht="15.75" hidden="false" customHeight="true" outlineLevel="0" collapsed="false">
      <c r="A21" s="46"/>
      <c r="B21" s="46" t="s">
        <v>30</v>
      </c>
      <c r="C21" s="46" t="str">
        <f aca="false">C16</f>
        <v>MEDIUM</v>
      </c>
      <c r="D21" s="46" t="str">
        <f aca="false">D16</f>
        <v>Developer 3</v>
      </c>
      <c r="E21" s="34" t="s">
        <v>9</v>
      </c>
      <c r="F21" s="47" t="n">
        <f aca="false">IF(E21="Completed",100%,IF(OR(E21="In Progress",E21="On Hold"),50%,0%))</f>
        <v>0</v>
      </c>
      <c r="G21" s="48" t="n">
        <f aca="false">H20+1+2*INT((WEEKDAY(H20,1)-1+1)/5)</f>
        <v>46219</v>
      </c>
      <c r="H21" s="48" t="n">
        <f aca="false">G21+(Settings!$B$11)-1+2*INT((WEEKDAY(G21,1)-1+(Settings!$B$11)-1)/5)</f>
        <v>46222</v>
      </c>
      <c r="I21" s="49"/>
      <c r="J21" s="49"/>
      <c r="K21" s="46" t="n">
        <f aca="true">IF(E21="Cancelled","",IF(J21&lt;&gt;"",J21-H21,IF(AND(E21&lt;&gt;"Completed",TODAY()&gt;H21),TODAY()-H21,0)))</f>
        <v>11</v>
      </c>
      <c r="L21" s="46" t="str">
        <f aca="false">IF(E21="Cancelled","Gray",IF(E21="On Hold","Red",IF(E21="Completed",IF(K21&gt;5,"Red",IF(K21&gt;0,"Amber","Green")),IF(K21&gt;5,"Red",IF(K21&gt;0,"Amber","Green")))))</f>
        <v>Red</v>
      </c>
      <c r="M21" s="50" t="s">
        <v>93</v>
      </c>
      <c r="N21" s="50"/>
      <c r="O21" s="34" t="str">
        <f aca="false">$O$16</f>
        <v>RPA-003</v>
      </c>
      <c r="P21" s="34"/>
      <c r="Q21" s="51"/>
      <c r="R21" s="34" t="s">
        <v>87</v>
      </c>
      <c r="S21" s="50"/>
      <c r="T21" s="50"/>
      <c r="U21" s="51" t="str">
        <f aca="false">$U$16</f>
        <v>Medium</v>
      </c>
      <c r="V21" s="51" t="str">
        <f aca="false">IF($V$16="","",$V$16)</f>
        <v/>
      </c>
      <c r="W21" s="34" t="str">
        <f aca="false">IF($W$16="","",$W$16)</f>
        <v/>
      </c>
      <c r="X21" s="52" t="n">
        <v>46233.4534722222</v>
      </c>
      <c r="Y21" s="51" t="str">
        <f aca="false">IF($Y$16="","",$Y$16)</f>
        <v>Project Manager</v>
      </c>
    </row>
    <row r="22" customFormat="false" ht="15.75" hidden="false" customHeight="true" outlineLevel="0" collapsed="false">
      <c r="A22" s="46"/>
      <c r="B22" s="46" t="s">
        <v>31</v>
      </c>
      <c r="C22" s="46" t="str">
        <f aca="false">C16</f>
        <v>MEDIUM</v>
      </c>
      <c r="D22" s="46" t="str">
        <f aca="false">D16</f>
        <v>Developer 3</v>
      </c>
      <c r="E22" s="34" t="s">
        <v>9</v>
      </c>
      <c r="F22" s="47" t="n">
        <f aca="false">IF(E22="Completed",100%,IF(OR(E22="In Progress",E22="On Hold"),50%,0%))</f>
        <v>0</v>
      </c>
      <c r="G22" s="48" t="n">
        <f aca="false">H21+1+2*INT((WEEKDAY(H21,1)-1+1)/5)</f>
        <v>46223</v>
      </c>
      <c r="H22" s="48" t="n">
        <f aca="false">G22+(Settings!$B$12)-1+2*INT((WEEKDAY(G22,1)-1+(Settings!$B$12)-1)/5)</f>
        <v>46223</v>
      </c>
      <c r="I22" s="49"/>
      <c r="J22" s="49"/>
      <c r="K22" s="46" t="n">
        <f aca="true">IF(E22="Cancelled","",IF(J22&lt;&gt;"",J22-H22,IF(AND(E22&lt;&gt;"Completed",TODAY()&gt;H22),TODAY()-H22,0)))</f>
        <v>10</v>
      </c>
      <c r="L22" s="46" t="str">
        <f aca="false">IF(E22="Cancelled","Gray",IF(E22="On Hold","Red",IF(E22="Completed",IF(K22&gt;5,"Red",IF(K22&gt;0,"Amber","Green")),IF(K22&gt;5,"Red",IF(K22&gt;0,"Amber","Green")))))</f>
        <v>Red</v>
      </c>
      <c r="M22" s="50" t="s">
        <v>92</v>
      </c>
      <c r="N22" s="50"/>
      <c r="O22" s="34" t="str">
        <f aca="false">$O$16</f>
        <v>RPA-003</v>
      </c>
      <c r="P22" s="34"/>
      <c r="Q22" s="51"/>
      <c r="R22" s="34" t="s">
        <v>87</v>
      </c>
      <c r="S22" s="50"/>
      <c r="T22" s="50"/>
      <c r="U22" s="51" t="str">
        <f aca="false">$U$16</f>
        <v>Medium</v>
      </c>
      <c r="V22" s="51" t="str">
        <f aca="false">IF($V$16="","",$V$16)</f>
        <v/>
      </c>
      <c r="W22" s="34" t="str">
        <f aca="false">IF($W$16="","",$W$16)</f>
        <v/>
      </c>
      <c r="X22" s="52" t="n">
        <v>46233.4534722222</v>
      </c>
      <c r="Y22" s="51" t="str">
        <f aca="false">IF($Y$16="","",$Y$16)</f>
        <v>Project Manager</v>
      </c>
    </row>
    <row r="23" customFormat="false" ht="15" hidden="false" customHeight="false" outlineLevel="0" collapsed="false">
      <c r="A23" s="41" t="s">
        <v>84</v>
      </c>
      <c r="B23" s="41" t="s">
        <v>85</v>
      </c>
      <c r="C23" s="41" t="str">
        <f aca="false">'Process Summary'!B7</f>
        <v>MEDIUM</v>
      </c>
      <c r="D23" s="41" t="str">
        <f aca="false">'Process Summary'!C7</f>
        <v>Developer 4</v>
      </c>
      <c r="E23" s="41" t="str">
        <f aca="false">IF(F23=100%,"Completed",IF(E24="On Hold","On Hold",IF(E25="On Hold","On Hold",IF(E26="On Hold","On Hold",IF(E27="On Hold","On Hold",IF(E28="On Hold","On Hold",IF(E29="On Hold","On Hold",IF(F23&gt;0%,"In Progress","Not Started"))))))))</f>
        <v>Not Started</v>
      </c>
      <c r="F23" s="42" t="n">
        <f aca="false">(F24*3+F25*5+F26+F27*IF(C23="LOW",13,IF(C23="MEDIUM",23,33))+F28*2+F29)/(12+IF(C23="LOW",13,IF(C23="MEDIUM",23,33)))</f>
        <v>0</v>
      </c>
      <c r="G23" s="43" t="n">
        <f aca="false">'Process Summary'!G7</f>
        <v>46187</v>
      </c>
      <c r="H23" s="43" t="n">
        <f aca="false">H29</f>
        <v>46223</v>
      </c>
      <c r="I23" s="43" t="str">
        <f aca="false">IF(COUNT(I24:I29)=0,"",MIN(I24:I29))</f>
        <v/>
      </c>
      <c r="J23" s="43" t="str">
        <f aca="false">IF(COUNT(J24:J29)=0,"",MAX(J24:J29))</f>
        <v/>
      </c>
      <c r="K23" s="41" t="n">
        <f aca="true">IF(E23="Cancelled","",IF(J23&lt;&gt;"",J23-H23,IF(AND(E23&lt;&gt;"Completed",TODAY()&gt;H23),TODAY()-H23,0)))</f>
        <v>10</v>
      </c>
      <c r="L23" s="41" t="str">
        <f aca="false">IF(E23="Cancelled","Gray",IF(E23="On Hold","Red",IF(E23="Completed",IF(K23&gt;5,"Red",IF(K23&gt;0,"Amber","Green")),IF(K23&gt;5,"Red",IF(K23&gt;0,"Amber","Green")))))</f>
        <v>Red</v>
      </c>
      <c r="M23" s="44"/>
      <c r="N23" s="44"/>
      <c r="O23" s="41" t="s">
        <v>96</v>
      </c>
      <c r="P23" s="41"/>
      <c r="Q23" s="41"/>
      <c r="R23" s="41" t="s">
        <v>87</v>
      </c>
      <c r="S23" s="44"/>
      <c r="T23" s="44"/>
      <c r="U23" s="41" t="s">
        <v>88</v>
      </c>
      <c r="V23" s="41"/>
      <c r="W23" s="41"/>
      <c r="X23" s="45" t="n">
        <v>46233.4534722222</v>
      </c>
      <c r="Y23" s="41" t="s">
        <v>89</v>
      </c>
    </row>
    <row r="24" customFormat="false" ht="15.75" hidden="false" customHeight="true" outlineLevel="0" collapsed="false">
      <c r="A24" s="51"/>
      <c r="B24" s="51" t="s">
        <v>22</v>
      </c>
      <c r="C24" s="51" t="str">
        <f aca="false">C23</f>
        <v>MEDIUM</v>
      </c>
      <c r="D24" s="51" t="str">
        <f aca="false">D23</f>
        <v>Developer 4</v>
      </c>
      <c r="E24" s="34" t="s">
        <v>9</v>
      </c>
      <c r="F24" s="53" t="n">
        <f aca="false">IF(E24="Completed",100%,IF(OR(E24="In Progress",E24="On Hold"),50%,0%))</f>
        <v>0</v>
      </c>
      <c r="G24" s="49" t="n">
        <f aca="false">G23</f>
        <v>46187</v>
      </c>
      <c r="H24" s="49" t="n">
        <f aca="false">G24+(Settings!$B$5)-1+2*INT((WEEKDAY(G24,1)-1+(Settings!$B$5)-1)/5)</f>
        <v>46189</v>
      </c>
      <c r="I24" s="49"/>
      <c r="J24" s="49"/>
      <c r="K24" s="51" t="n">
        <f aca="true">IF(E24="Cancelled","",IF(J24&lt;&gt;"",J24-H24,IF(AND(E24&lt;&gt;"Completed",TODAY()&gt;H24),TODAY()-H24,0)))</f>
        <v>44</v>
      </c>
      <c r="L24" s="51" t="str">
        <f aca="false">IF(E24="Cancelled","Gray",IF(E24="On Hold","Red",IF(E24="Completed",IF(K24&gt;5,"Red",IF(K24&gt;0,"Amber","Green")),IF(K24&gt;5,"Red",IF(K24&gt;0,"Amber","Green")))))</f>
        <v>Red</v>
      </c>
      <c r="M24" s="50" t="s">
        <v>90</v>
      </c>
      <c r="N24" s="50"/>
      <c r="O24" s="34" t="str">
        <f aca="false">$O$23</f>
        <v>RPA-004</v>
      </c>
      <c r="P24" s="34"/>
      <c r="Q24" s="51"/>
      <c r="R24" s="34" t="s">
        <v>87</v>
      </c>
      <c r="S24" s="50"/>
      <c r="T24" s="50"/>
      <c r="U24" s="51" t="str">
        <f aca="false">$U$23</f>
        <v>Medium</v>
      </c>
      <c r="V24" s="51" t="str">
        <f aca="false">IF($V$23="","",$V$23)</f>
        <v/>
      </c>
      <c r="W24" s="34" t="str">
        <f aca="false">IF($W$23="","",$W$23)</f>
        <v/>
      </c>
      <c r="X24" s="52" t="n">
        <v>46233.4534722222</v>
      </c>
      <c r="Y24" s="51" t="str">
        <f aca="false">IF($Y$23="","",$Y$23)</f>
        <v>Project Manager</v>
      </c>
    </row>
    <row r="25" customFormat="false" ht="15.75" hidden="false" customHeight="true" outlineLevel="0" collapsed="false">
      <c r="A25" s="51"/>
      <c r="B25" s="51" t="s">
        <v>24</v>
      </c>
      <c r="C25" s="51" t="str">
        <f aca="false">C23</f>
        <v>MEDIUM</v>
      </c>
      <c r="D25" s="51" t="str">
        <f aca="false">D23</f>
        <v>Developer 4</v>
      </c>
      <c r="E25" s="34" t="s">
        <v>9</v>
      </c>
      <c r="F25" s="53" t="n">
        <f aca="false">IF(E25="Completed",100%,IF(OR(E25="In Progress",E25="On Hold"),50%,0%))</f>
        <v>0</v>
      </c>
      <c r="G25" s="49" t="n">
        <f aca="false">H24+1+2*INT((WEEKDAY(H24,1)-1+1)/5)</f>
        <v>46190</v>
      </c>
      <c r="H25" s="49" t="n">
        <f aca="false">G25+(Settings!$B$6)-1+2*INT((WEEKDAY(G25,1)-1+(Settings!$B$6)-1)/5)</f>
        <v>46196</v>
      </c>
      <c r="I25" s="49"/>
      <c r="J25" s="49"/>
      <c r="K25" s="51" t="n">
        <f aca="true">IF(E25="Cancelled","",IF(J25&lt;&gt;"",J25-H25,IF(AND(E25&lt;&gt;"Completed",TODAY()&gt;H25),TODAY()-H25,0)))</f>
        <v>37</v>
      </c>
      <c r="L25" s="51" t="str">
        <f aca="false">IF(E25="Cancelled","Gray",IF(E25="On Hold","Red",IF(E25="Completed",IF(K25&gt;5,"Red",IF(K25&gt;0,"Amber","Green")),IF(K25&gt;5,"Red",IF(K25&gt;0,"Amber","Green")))))</f>
        <v>Red</v>
      </c>
      <c r="M25" s="50" t="s">
        <v>90</v>
      </c>
      <c r="N25" s="50"/>
      <c r="O25" s="34" t="str">
        <f aca="false">$O$23</f>
        <v>RPA-004</v>
      </c>
      <c r="P25" s="34"/>
      <c r="Q25" s="51"/>
      <c r="R25" s="34" t="s">
        <v>87</v>
      </c>
      <c r="S25" s="50"/>
      <c r="T25" s="50"/>
      <c r="U25" s="51" t="str">
        <f aca="false">$U$23</f>
        <v>Medium</v>
      </c>
      <c r="V25" s="51" t="str">
        <f aca="false">IF($V$23="","",$V$23)</f>
        <v/>
      </c>
      <c r="W25" s="34" t="str">
        <f aca="false">IF($W$23="","",$W$23)</f>
        <v/>
      </c>
      <c r="X25" s="52" t="n">
        <v>46233.4534722222</v>
      </c>
      <c r="Y25" s="51" t="str">
        <f aca="false">IF($Y$23="","",$Y$23)</f>
        <v>Project Manager</v>
      </c>
    </row>
    <row r="26" customFormat="false" ht="15.75" hidden="false" customHeight="true" outlineLevel="0" collapsed="false">
      <c r="A26" s="51"/>
      <c r="B26" s="51" t="s">
        <v>26</v>
      </c>
      <c r="C26" s="51" t="str">
        <f aca="false">C23</f>
        <v>MEDIUM</v>
      </c>
      <c r="D26" s="51" t="str">
        <f aca="false">D23</f>
        <v>Developer 4</v>
      </c>
      <c r="E26" s="34" t="s">
        <v>9</v>
      </c>
      <c r="F26" s="53" t="n">
        <f aca="false">IF(E26="Completed",100%,IF(OR(E26="In Progress",E26="On Hold"),50%,0%))</f>
        <v>0</v>
      </c>
      <c r="G26" s="49" t="n">
        <f aca="false">H25+1+2*INT((WEEKDAY(H25,1)-1+1)/5)</f>
        <v>46197</v>
      </c>
      <c r="H26" s="49" t="n">
        <f aca="false">G26+(Settings!$B$7)-1+2*INT((WEEKDAY(G26,1)-1+(Settings!$B$7)-1)/5)</f>
        <v>46197</v>
      </c>
      <c r="I26" s="49"/>
      <c r="J26" s="49"/>
      <c r="K26" s="51" t="n">
        <f aca="true">IF(E26="Cancelled","",IF(J26&lt;&gt;"",J26-H26,IF(AND(E26&lt;&gt;"Completed",TODAY()&gt;H26),TODAY()-H26,0)))</f>
        <v>36</v>
      </c>
      <c r="L26" s="51" t="str">
        <f aca="false">IF(E26="Cancelled","Gray",IF(E26="On Hold","Red",IF(E26="Completed",IF(K26&gt;5,"Red",IF(K26&gt;0,"Amber","Green")),IF(K26&gt;5,"Red",IF(K26&gt;0,"Amber","Green")))))</f>
        <v>Red</v>
      </c>
      <c r="M26" s="50" t="s">
        <v>91</v>
      </c>
      <c r="N26" s="50"/>
      <c r="O26" s="34" t="str">
        <f aca="false">$O$23</f>
        <v>RPA-004</v>
      </c>
      <c r="P26" s="34"/>
      <c r="Q26" s="51"/>
      <c r="R26" s="34" t="s">
        <v>87</v>
      </c>
      <c r="S26" s="50"/>
      <c r="T26" s="50"/>
      <c r="U26" s="51" t="str">
        <f aca="false">$U$23</f>
        <v>Medium</v>
      </c>
      <c r="V26" s="51" t="str">
        <f aca="false">IF($V$23="","",$V$23)</f>
        <v/>
      </c>
      <c r="W26" s="34" t="str">
        <f aca="false">IF($W$23="","",$W$23)</f>
        <v/>
      </c>
      <c r="X26" s="52" t="n">
        <v>46233.4534722222</v>
      </c>
      <c r="Y26" s="51" t="str">
        <f aca="false">IF($Y$23="","",$Y$23)</f>
        <v>Project Manager</v>
      </c>
    </row>
    <row r="27" customFormat="false" ht="15.75" hidden="false" customHeight="true" outlineLevel="0" collapsed="false">
      <c r="A27" s="51"/>
      <c r="B27" s="51" t="s">
        <v>28</v>
      </c>
      <c r="C27" s="51" t="str">
        <f aca="false">C23</f>
        <v>MEDIUM</v>
      </c>
      <c r="D27" s="51" t="str">
        <f aca="false">D23</f>
        <v>Developer 4</v>
      </c>
      <c r="E27" s="34" t="s">
        <v>9</v>
      </c>
      <c r="F27" s="53" t="n">
        <f aca="false">IF(E27="Completed",100%,IF(OR(E27="In Progress",E27="On Hold"),50%,0%))</f>
        <v>0</v>
      </c>
      <c r="G27" s="49" t="n">
        <f aca="false">H26+1+2*INT((WEEKDAY(H26,1)-1+1)/5)</f>
        <v>46198</v>
      </c>
      <c r="H27" s="49" t="n">
        <f aca="false">G27+(IF(C27="LOW",Settings!$B$8,IF(C27="MEDIUM",Settings!$B$9,Settings!$B$10)))-1+2*INT((WEEKDAY(G27,1)-1+(IF(C27="LOW",Settings!$B$8,IF(C27="MEDIUM",Settings!$B$9,Settings!$B$10)))-1)/5)</f>
        <v>46218</v>
      </c>
      <c r="I27" s="49"/>
      <c r="J27" s="49"/>
      <c r="K27" s="51" t="n">
        <f aca="true">IF(E27="Cancelled","",IF(J27&lt;&gt;"",J27-H27,IF(AND(E27&lt;&gt;"Completed",TODAY()&gt;H27),TODAY()-H27,0)))</f>
        <v>15</v>
      </c>
      <c r="L27" s="51" t="str">
        <f aca="false">IF(E27="Cancelled","Gray",IF(E27="On Hold","Red",IF(E27="Completed",IF(K27&gt;5,"Red",IF(K27&gt;0,"Amber","Green")),IF(K27&gt;5,"Red",IF(K27&gt;0,"Amber","Green")))))</f>
        <v>Red</v>
      </c>
      <c r="M27" s="50" t="s">
        <v>92</v>
      </c>
      <c r="N27" s="50"/>
      <c r="O27" s="34" t="str">
        <f aca="false">$O$23</f>
        <v>RPA-004</v>
      </c>
      <c r="P27" s="34"/>
      <c r="Q27" s="51"/>
      <c r="R27" s="34" t="s">
        <v>87</v>
      </c>
      <c r="S27" s="50"/>
      <c r="T27" s="50"/>
      <c r="U27" s="51" t="str">
        <f aca="false">$U$23</f>
        <v>Medium</v>
      </c>
      <c r="V27" s="51" t="str">
        <f aca="false">IF($V$23="","",$V$23)</f>
        <v/>
      </c>
      <c r="W27" s="34" t="str">
        <f aca="false">IF($W$23="","",$W$23)</f>
        <v/>
      </c>
      <c r="X27" s="52" t="n">
        <v>46233.4534722222</v>
      </c>
      <c r="Y27" s="51" t="str">
        <f aca="false">IF($Y$23="","",$Y$23)</f>
        <v>Project Manager</v>
      </c>
    </row>
    <row r="28" customFormat="false" ht="15.75" hidden="false" customHeight="true" outlineLevel="0" collapsed="false">
      <c r="A28" s="51"/>
      <c r="B28" s="51" t="s">
        <v>30</v>
      </c>
      <c r="C28" s="51" t="str">
        <f aca="false">C23</f>
        <v>MEDIUM</v>
      </c>
      <c r="D28" s="51" t="str">
        <f aca="false">D23</f>
        <v>Developer 4</v>
      </c>
      <c r="E28" s="34" t="s">
        <v>9</v>
      </c>
      <c r="F28" s="53" t="n">
        <f aca="false">IF(E28="Completed",100%,IF(OR(E28="In Progress",E28="On Hold"),50%,0%))</f>
        <v>0</v>
      </c>
      <c r="G28" s="49" t="n">
        <f aca="false">H27+1+2*INT((WEEKDAY(H27,1)-1+1)/5)</f>
        <v>46219</v>
      </c>
      <c r="H28" s="49" t="n">
        <f aca="false">G28+(Settings!$B$11)-1+2*INT((WEEKDAY(G28,1)-1+(Settings!$B$11)-1)/5)</f>
        <v>46222</v>
      </c>
      <c r="I28" s="49"/>
      <c r="J28" s="49"/>
      <c r="K28" s="51" t="n">
        <f aca="true">IF(E28="Cancelled","",IF(J28&lt;&gt;"",J28-H28,IF(AND(E28&lt;&gt;"Completed",TODAY()&gt;H28),TODAY()-H28,0)))</f>
        <v>11</v>
      </c>
      <c r="L28" s="51" t="str">
        <f aca="false">IF(E28="Cancelled","Gray",IF(E28="On Hold","Red",IF(E28="Completed",IF(K28&gt;5,"Red",IF(K28&gt;0,"Amber","Green")),IF(K28&gt;5,"Red",IF(K28&gt;0,"Amber","Green")))))</f>
        <v>Red</v>
      </c>
      <c r="M28" s="50" t="s">
        <v>93</v>
      </c>
      <c r="N28" s="50"/>
      <c r="O28" s="34" t="str">
        <f aca="false">$O$23</f>
        <v>RPA-004</v>
      </c>
      <c r="P28" s="34"/>
      <c r="Q28" s="51"/>
      <c r="R28" s="34" t="s">
        <v>87</v>
      </c>
      <c r="S28" s="50"/>
      <c r="T28" s="50"/>
      <c r="U28" s="51" t="str">
        <f aca="false">$U$23</f>
        <v>Medium</v>
      </c>
      <c r="V28" s="51" t="str">
        <f aca="false">IF($V$23="","",$V$23)</f>
        <v/>
      </c>
      <c r="W28" s="34" t="str">
        <f aca="false">IF($W$23="","",$W$23)</f>
        <v/>
      </c>
      <c r="X28" s="52" t="n">
        <v>46233.4534722222</v>
      </c>
      <c r="Y28" s="51" t="str">
        <f aca="false">IF($Y$23="","",$Y$23)</f>
        <v>Project Manager</v>
      </c>
    </row>
    <row r="29" customFormat="false" ht="15.75" hidden="false" customHeight="true" outlineLevel="0" collapsed="false">
      <c r="A29" s="51"/>
      <c r="B29" s="51" t="s">
        <v>31</v>
      </c>
      <c r="C29" s="51" t="str">
        <f aca="false">C23</f>
        <v>MEDIUM</v>
      </c>
      <c r="D29" s="51" t="str">
        <f aca="false">D23</f>
        <v>Developer 4</v>
      </c>
      <c r="E29" s="34" t="s">
        <v>9</v>
      </c>
      <c r="F29" s="53" t="n">
        <f aca="false">IF(E29="Completed",100%,IF(OR(E29="In Progress",E29="On Hold"),50%,0%))</f>
        <v>0</v>
      </c>
      <c r="G29" s="49" t="n">
        <f aca="false">H28+1+2*INT((WEEKDAY(H28,1)-1+1)/5)</f>
        <v>46223</v>
      </c>
      <c r="H29" s="49" t="n">
        <f aca="false">G29+(Settings!$B$12)-1+2*INT((WEEKDAY(G29,1)-1+(Settings!$B$12)-1)/5)</f>
        <v>46223</v>
      </c>
      <c r="I29" s="49"/>
      <c r="J29" s="49"/>
      <c r="K29" s="51" t="n">
        <f aca="true">IF(E29="Cancelled","",IF(J29&lt;&gt;"",J29-H29,IF(AND(E29&lt;&gt;"Completed",TODAY()&gt;H29),TODAY()-H29,0)))</f>
        <v>10</v>
      </c>
      <c r="L29" s="51" t="str">
        <f aca="false">IF(E29="Cancelled","Gray",IF(E29="On Hold","Red",IF(E29="Completed",IF(K29&gt;5,"Red",IF(K29&gt;0,"Amber","Green")),IF(K29&gt;5,"Red",IF(K29&gt;0,"Amber","Green")))))</f>
        <v>Red</v>
      </c>
      <c r="M29" s="50" t="s">
        <v>92</v>
      </c>
      <c r="N29" s="50"/>
      <c r="O29" s="34" t="str">
        <f aca="false">$O$23</f>
        <v>RPA-004</v>
      </c>
      <c r="P29" s="34"/>
      <c r="Q29" s="51"/>
      <c r="R29" s="34" t="s">
        <v>87</v>
      </c>
      <c r="S29" s="50"/>
      <c r="T29" s="50"/>
      <c r="U29" s="51" t="str">
        <f aca="false">$U$23</f>
        <v>Medium</v>
      </c>
      <c r="V29" s="51" t="str">
        <f aca="false">IF($V$23="","",$V$23)</f>
        <v/>
      </c>
      <c r="W29" s="34" t="str">
        <f aca="false">IF($W$23="","",$W$23)</f>
        <v/>
      </c>
      <c r="X29" s="52" t="n">
        <v>46233.4534722222</v>
      </c>
      <c r="Y29" s="51" t="str">
        <f aca="false">IF($Y$23="","",$Y$23)</f>
        <v>Project Manager</v>
      </c>
    </row>
    <row r="30" customFormat="false" ht="15" hidden="false" customHeight="false" outlineLevel="0" collapsed="false">
      <c r="A30" s="41" t="s">
        <v>97</v>
      </c>
      <c r="B30" s="41" t="s">
        <v>85</v>
      </c>
      <c r="C30" s="41" t="str">
        <f aca="false">'Process Summary'!B8</f>
        <v>HIGH</v>
      </c>
      <c r="D30" s="41" t="str">
        <f aca="false">'Process Summary'!C8</f>
        <v>Developer 2</v>
      </c>
      <c r="E30" s="41" t="str">
        <f aca="false">IF(F30=100%,"Completed",IF(E31="On Hold","On Hold",IF(E32="On Hold","On Hold",IF(E33="On Hold","On Hold",IF(E34="On Hold","On Hold",IF(E35="On Hold","On Hold",IF(E36="On Hold","On Hold",IF(F30&gt;0%,"In Progress","Not Started"))))))))</f>
        <v>Not Started</v>
      </c>
      <c r="F30" s="42" t="n">
        <f aca="false">(F31*3+F32*5+F33+F34*IF(C30="LOW",13,IF(C30="MEDIUM",23,33))+F35*2+F36)/(12+IF(C30="LOW",13,IF(C30="MEDIUM",23,33)))</f>
        <v>0</v>
      </c>
      <c r="G30" s="43" t="n">
        <f aca="false">'Process Summary'!G8</f>
        <v>46217</v>
      </c>
      <c r="H30" s="43" t="n">
        <f aca="false">H36</f>
        <v>46260</v>
      </c>
      <c r="I30" s="43" t="str">
        <f aca="false">IF(COUNT(I31:I36)=0,"",MIN(I31:I36))</f>
        <v/>
      </c>
      <c r="J30" s="43" t="str">
        <f aca="false">IF(COUNT(J31:J36)=0,"",MAX(J31:J36))</f>
        <v/>
      </c>
      <c r="K30" s="41" t="n">
        <f aca="true">IF(E30="Cancelled","",IF(J30&lt;&gt;"",J30-H30,IF(AND(E30&lt;&gt;"Completed",TODAY()&gt;H30),TODAY()-H30,0)))</f>
        <v>0</v>
      </c>
      <c r="L30" s="41" t="str">
        <f aca="false">IF(E30="Cancelled","Gray",IF(E30="On Hold","Red",IF(E30="Completed",IF(K30&gt;5,"Red",IF(K30&gt;0,"Amber","Green")),IF(K30&gt;5,"Red",IF(K30&gt;0,"Amber","Green")))))</f>
        <v>Green</v>
      </c>
      <c r="M30" s="44"/>
      <c r="N30" s="44"/>
      <c r="O30" s="41" t="s">
        <v>98</v>
      </c>
      <c r="P30" s="41"/>
      <c r="Q30" s="41"/>
      <c r="R30" s="41" t="s">
        <v>87</v>
      </c>
      <c r="S30" s="44"/>
      <c r="T30" s="44"/>
      <c r="U30" s="41" t="s">
        <v>88</v>
      </c>
      <c r="V30" s="41"/>
      <c r="W30" s="41"/>
      <c r="X30" s="45" t="n">
        <v>46233.4534722222</v>
      </c>
      <c r="Y30" s="41" t="s">
        <v>89</v>
      </c>
    </row>
    <row r="31" customFormat="false" ht="15.75" hidden="false" customHeight="true" outlineLevel="0" collapsed="false">
      <c r="A31" s="46"/>
      <c r="B31" s="46" t="s">
        <v>22</v>
      </c>
      <c r="C31" s="46" t="str">
        <f aca="false">C30</f>
        <v>HIGH</v>
      </c>
      <c r="D31" s="46" t="str">
        <f aca="false">D30</f>
        <v>Developer 2</v>
      </c>
      <c r="E31" s="34" t="s">
        <v>9</v>
      </c>
      <c r="F31" s="47" t="n">
        <f aca="false">IF(E31="Completed",100%,IF(OR(E31="In Progress",E31="On Hold"),50%,0%))</f>
        <v>0</v>
      </c>
      <c r="G31" s="48" t="n">
        <f aca="false">G30</f>
        <v>46217</v>
      </c>
      <c r="H31" s="48" t="n">
        <f aca="false">G31+(Settings!$B$5)-1+2*INT((WEEKDAY(G31,1)-1+(Settings!$B$5)-1)/5)</f>
        <v>46219</v>
      </c>
      <c r="I31" s="49"/>
      <c r="J31" s="49"/>
      <c r="K31" s="46" t="n">
        <f aca="true">IF(E31="Cancelled","",IF(J31&lt;&gt;"",J31-H31,IF(AND(E31&lt;&gt;"Completed",TODAY()&gt;H31),TODAY()-H31,0)))</f>
        <v>14</v>
      </c>
      <c r="L31" s="46" t="str">
        <f aca="false">IF(E31="Cancelled","Gray",IF(E31="On Hold","Red",IF(E31="Completed",IF(K31&gt;5,"Red",IF(K31&gt;0,"Amber","Green")),IF(K31&gt;5,"Red",IF(K31&gt;0,"Amber","Green")))))</f>
        <v>Red</v>
      </c>
      <c r="M31" s="50" t="s">
        <v>90</v>
      </c>
      <c r="N31" s="50"/>
      <c r="O31" s="34" t="str">
        <f aca="false">$O$30</f>
        <v>RPA-005</v>
      </c>
      <c r="P31" s="34"/>
      <c r="Q31" s="51"/>
      <c r="R31" s="34" t="s">
        <v>87</v>
      </c>
      <c r="S31" s="50"/>
      <c r="T31" s="50"/>
      <c r="U31" s="51" t="str">
        <f aca="false">$U$30</f>
        <v>Medium</v>
      </c>
      <c r="V31" s="51" t="str">
        <f aca="false">IF($V$30="","",$V$30)</f>
        <v/>
      </c>
      <c r="W31" s="34" t="str">
        <f aca="false">IF($W$30="","",$W$30)</f>
        <v/>
      </c>
      <c r="X31" s="52" t="n">
        <v>46233.4534722222</v>
      </c>
      <c r="Y31" s="51" t="str">
        <f aca="false">IF($Y$30="","",$Y$30)</f>
        <v>Project Manager</v>
      </c>
    </row>
    <row r="32" customFormat="false" ht="15.75" hidden="false" customHeight="true" outlineLevel="0" collapsed="false">
      <c r="A32" s="46"/>
      <c r="B32" s="46" t="s">
        <v>24</v>
      </c>
      <c r="C32" s="46" t="str">
        <f aca="false">C30</f>
        <v>HIGH</v>
      </c>
      <c r="D32" s="46" t="str">
        <f aca="false">D30</f>
        <v>Developer 2</v>
      </c>
      <c r="E32" s="34" t="s">
        <v>9</v>
      </c>
      <c r="F32" s="47" t="n">
        <f aca="false">IF(E32="Completed",100%,IF(OR(E32="In Progress",E32="On Hold"),50%,0%))</f>
        <v>0</v>
      </c>
      <c r="G32" s="48" t="n">
        <f aca="false">H31+1+2*INT((WEEKDAY(H31,1)-1+1)/5)</f>
        <v>46222</v>
      </c>
      <c r="H32" s="48" t="n">
        <f aca="false">G32+(Settings!$B$6)-1+2*INT((WEEKDAY(G32,1)-1+(Settings!$B$6)-1)/5)</f>
        <v>46226</v>
      </c>
      <c r="I32" s="49"/>
      <c r="J32" s="49"/>
      <c r="K32" s="46" t="n">
        <f aca="true">IF(E32="Cancelled","",IF(J32&lt;&gt;"",J32-H32,IF(AND(E32&lt;&gt;"Completed",TODAY()&gt;H32),TODAY()-H32,0)))</f>
        <v>7</v>
      </c>
      <c r="L32" s="46" t="str">
        <f aca="false">IF(E32="Cancelled","Gray",IF(E32="On Hold","Red",IF(E32="Completed",IF(K32&gt;5,"Red",IF(K32&gt;0,"Amber","Green")),IF(K32&gt;5,"Red",IF(K32&gt;0,"Amber","Green")))))</f>
        <v>Red</v>
      </c>
      <c r="M32" s="50" t="s">
        <v>90</v>
      </c>
      <c r="N32" s="50"/>
      <c r="O32" s="34" t="str">
        <f aca="false">$O$30</f>
        <v>RPA-005</v>
      </c>
      <c r="P32" s="34"/>
      <c r="Q32" s="51"/>
      <c r="R32" s="34" t="s">
        <v>87</v>
      </c>
      <c r="S32" s="50"/>
      <c r="T32" s="50"/>
      <c r="U32" s="51" t="str">
        <f aca="false">$U$30</f>
        <v>Medium</v>
      </c>
      <c r="V32" s="51" t="str">
        <f aca="false">IF($V$30="","",$V$30)</f>
        <v/>
      </c>
      <c r="W32" s="34" t="str">
        <f aca="false">IF($W$30="","",$W$30)</f>
        <v/>
      </c>
      <c r="X32" s="52" t="n">
        <v>46233.4534722222</v>
      </c>
      <c r="Y32" s="51" t="str">
        <f aca="false">IF($Y$30="","",$Y$30)</f>
        <v>Project Manager</v>
      </c>
    </row>
    <row r="33" customFormat="false" ht="15.75" hidden="false" customHeight="true" outlineLevel="0" collapsed="false">
      <c r="A33" s="46"/>
      <c r="B33" s="46" t="s">
        <v>26</v>
      </c>
      <c r="C33" s="46" t="str">
        <f aca="false">C30</f>
        <v>HIGH</v>
      </c>
      <c r="D33" s="46" t="str">
        <f aca="false">D30</f>
        <v>Developer 2</v>
      </c>
      <c r="E33" s="34" t="s">
        <v>9</v>
      </c>
      <c r="F33" s="47" t="n">
        <f aca="false">IF(E33="Completed",100%,IF(OR(E33="In Progress",E33="On Hold"),50%,0%))</f>
        <v>0</v>
      </c>
      <c r="G33" s="48" t="n">
        <f aca="false">H32+1+2*INT((WEEKDAY(H32,1)-1+1)/5)</f>
        <v>46229</v>
      </c>
      <c r="H33" s="48" t="n">
        <f aca="false">G33+(Settings!$B$7)-1+2*INT((WEEKDAY(G33,1)-1+(Settings!$B$7)-1)/5)</f>
        <v>46229</v>
      </c>
      <c r="I33" s="49"/>
      <c r="J33" s="49"/>
      <c r="K33" s="46" t="n">
        <f aca="true">IF(E33="Cancelled","",IF(J33&lt;&gt;"",J33-H33,IF(AND(E33&lt;&gt;"Completed",TODAY()&gt;H33),TODAY()-H33,0)))</f>
        <v>4</v>
      </c>
      <c r="L33" s="46" t="str">
        <f aca="false">IF(E33="Cancelled","Gray",IF(E33="On Hold","Red",IF(E33="Completed",IF(K33&gt;5,"Red",IF(K33&gt;0,"Amber","Green")),IF(K33&gt;5,"Red",IF(K33&gt;0,"Amber","Green")))))</f>
        <v>Amber</v>
      </c>
      <c r="M33" s="50" t="s">
        <v>91</v>
      </c>
      <c r="N33" s="50"/>
      <c r="O33" s="34" t="str">
        <f aca="false">$O$30</f>
        <v>RPA-005</v>
      </c>
      <c r="P33" s="34"/>
      <c r="Q33" s="51"/>
      <c r="R33" s="34" t="s">
        <v>87</v>
      </c>
      <c r="S33" s="50"/>
      <c r="T33" s="50"/>
      <c r="U33" s="51" t="str">
        <f aca="false">$U$30</f>
        <v>Medium</v>
      </c>
      <c r="V33" s="51" t="str">
        <f aca="false">IF($V$30="","",$V$30)</f>
        <v/>
      </c>
      <c r="W33" s="34" t="str">
        <f aca="false">IF($W$30="","",$W$30)</f>
        <v/>
      </c>
      <c r="X33" s="52" t="n">
        <v>46233.4534722222</v>
      </c>
      <c r="Y33" s="51" t="str">
        <f aca="false">IF($Y$30="","",$Y$30)</f>
        <v>Project Manager</v>
      </c>
    </row>
    <row r="34" customFormat="false" ht="15.75" hidden="false" customHeight="true" outlineLevel="0" collapsed="false">
      <c r="A34" s="46"/>
      <c r="B34" s="46" t="s">
        <v>28</v>
      </c>
      <c r="C34" s="46" t="str">
        <f aca="false">C30</f>
        <v>HIGH</v>
      </c>
      <c r="D34" s="46" t="str">
        <f aca="false">D30</f>
        <v>Developer 2</v>
      </c>
      <c r="E34" s="34" t="s">
        <v>9</v>
      </c>
      <c r="F34" s="47" t="n">
        <f aca="false">IF(E34="Completed",100%,IF(OR(E34="In Progress",E34="On Hold"),50%,0%))</f>
        <v>0</v>
      </c>
      <c r="G34" s="48" t="n">
        <f aca="false">H33+1+2*INT((WEEKDAY(H33,1)-1+1)/5)</f>
        <v>46230</v>
      </c>
      <c r="H34" s="48" t="n">
        <f aca="false">G34+(IF(C34="LOW",Settings!$B$8,IF(C34="MEDIUM",Settings!$B$9,Settings!$B$10)))-1+2*INT((WEEKDAY(G34,1)-1+(IF(C34="LOW",Settings!$B$8,IF(C34="MEDIUM",Settings!$B$9,Settings!$B$10)))-1)/5)</f>
        <v>46257</v>
      </c>
      <c r="I34" s="49"/>
      <c r="J34" s="49"/>
      <c r="K34" s="46" t="n">
        <f aca="true">IF(E34="Cancelled","",IF(J34&lt;&gt;"",J34-H34,IF(AND(E34&lt;&gt;"Completed",TODAY()&gt;H34),TODAY()-H34,0)))</f>
        <v>0</v>
      </c>
      <c r="L34" s="46" t="str">
        <f aca="false">IF(E34="Cancelled","Gray",IF(E34="On Hold","Red",IF(E34="Completed",IF(K34&gt;5,"Red",IF(K34&gt;0,"Amber","Green")),IF(K34&gt;5,"Red",IF(K34&gt;0,"Amber","Green")))))</f>
        <v>Green</v>
      </c>
      <c r="M34" s="50" t="s">
        <v>92</v>
      </c>
      <c r="N34" s="50"/>
      <c r="O34" s="34" t="str">
        <f aca="false">$O$30</f>
        <v>RPA-005</v>
      </c>
      <c r="P34" s="34"/>
      <c r="Q34" s="51"/>
      <c r="R34" s="34" t="s">
        <v>87</v>
      </c>
      <c r="S34" s="50"/>
      <c r="T34" s="50"/>
      <c r="U34" s="51" t="str">
        <f aca="false">$U$30</f>
        <v>Medium</v>
      </c>
      <c r="V34" s="51" t="str">
        <f aca="false">IF($V$30="","",$V$30)</f>
        <v/>
      </c>
      <c r="W34" s="34" t="str">
        <f aca="false">IF($W$30="","",$W$30)</f>
        <v/>
      </c>
      <c r="X34" s="52" t="n">
        <v>46233.4534722222</v>
      </c>
      <c r="Y34" s="51" t="str">
        <f aca="false">IF($Y$30="","",$Y$30)</f>
        <v>Project Manager</v>
      </c>
    </row>
    <row r="35" customFormat="false" ht="15.75" hidden="false" customHeight="true" outlineLevel="0" collapsed="false">
      <c r="A35" s="46"/>
      <c r="B35" s="46" t="s">
        <v>30</v>
      </c>
      <c r="C35" s="46" t="str">
        <f aca="false">C30</f>
        <v>HIGH</v>
      </c>
      <c r="D35" s="46" t="str">
        <f aca="false">D30</f>
        <v>Developer 2</v>
      </c>
      <c r="E35" s="34" t="s">
        <v>9</v>
      </c>
      <c r="F35" s="47" t="n">
        <f aca="false">IF(E35="Completed",100%,IF(OR(E35="In Progress",E35="On Hold"),50%,0%))</f>
        <v>0</v>
      </c>
      <c r="G35" s="48" t="n">
        <f aca="false">H34+1+2*INT((WEEKDAY(H34,1)-1+1)/5)</f>
        <v>46258</v>
      </c>
      <c r="H35" s="48" t="n">
        <f aca="false">G35+(Settings!$B$11)-1+2*INT((WEEKDAY(G35,1)-1+(Settings!$B$11)-1)/5)</f>
        <v>46259</v>
      </c>
      <c r="I35" s="49"/>
      <c r="J35" s="49"/>
      <c r="K35" s="46" t="n">
        <f aca="true">IF(E35="Cancelled","",IF(J35&lt;&gt;"",J35-H35,IF(AND(E35&lt;&gt;"Completed",TODAY()&gt;H35),TODAY()-H35,0)))</f>
        <v>0</v>
      </c>
      <c r="L35" s="46" t="str">
        <f aca="false">IF(E35="Cancelled","Gray",IF(E35="On Hold","Red",IF(E35="Completed",IF(K35&gt;5,"Red",IF(K35&gt;0,"Amber","Green")),IF(K35&gt;5,"Red",IF(K35&gt;0,"Amber","Green")))))</f>
        <v>Green</v>
      </c>
      <c r="M35" s="50" t="s">
        <v>93</v>
      </c>
      <c r="N35" s="50"/>
      <c r="O35" s="34" t="str">
        <f aca="false">$O$30</f>
        <v>RPA-005</v>
      </c>
      <c r="P35" s="34"/>
      <c r="Q35" s="51"/>
      <c r="R35" s="34" t="s">
        <v>87</v>
      </c>
      <c r="S35" s="50"/>
      <c r="T35" s="50"/>
      <c r="U35" s="51" t="str">
        <f aca="false">$U$30</f>
        <v>Medium</v>
      </c>
      <c r="V35" s="51" t="str">
        <f aca="false">IF($V$30="","",$V$30)</f>
        <v/>
      </c>
      <c r="W35" s="34" t="str">
        <f aca="false">IF($W$30="","",$W$30)</f>
        <v/>
      </c>
      <c r="X35" s="52" t="n">
        <v>46233.4534722222</v>
      </c>
      <c r="Y35" s="51" t="str">
        <f aca="false">IF($Y$30="","",$Y$30)</f>
        <v>Project Manager</v>
      </c>
    </row>
    <row r="36" customFormat="false" ht="15.75" hidden="false" customHeight="true" outlineLevel="0" collapsed="false">
      <c r="A36" s="46"/>
      <c r="B36" s="46" t="s">
        <v>31</v>
      </c>
      <c r="C36" s="46" t="str">
        <f aca="false">C30</f>
        <v>HIGH</v>
      </c>
      <c r="D36" s="46" t="str">
        <f aca="false">D30</f>
        <v>Developer 2</v>
      </c>
      <c r="E36" s="34" t="s">
        <v>9</v>
      </c>
      <c r="F36" s="47" t="n">
        <f aca="false">IF(E36="Completed",100%,IF(OR(E36="In Progress",E36="On Hold"),50%,0%))</f>
        <v>0</v>
      </c>
      <c r="G36" s="48" t="n">
        <f aca="false">H35+1+2*INT((WEEKDAY(H35,1)-1+1)/5)</f>
        <v>46260</v>
      </c>
      <c r="H36" s="48" t="n">
        <f aca="false">G36+(Settings!$B$12)-1+2*INT((WEEKDAY(G36,1)-1+(Settings!$B$12)-1)/5)</f>
        <v>46260</v>
      </c>
      <c r="I36" s="49"/>
      <c r="J36" s="49"/>
      <c r="K36" s="46" t="n">
        <f aca="true">IF(E36="Cancelled","",IF(J36&lt;&gt;"",J36-H36,IF(AND(E36&lt;&gt;"Completed",TODAY()&gt;H36),TODAY()-H36,0)))</f>
        <v>0</v>
      </c>
      <c r="L36" s="46" t="str">
        <f aca="false">IF(E36="Cancelled","Gray",IF(E36="On Hold","Red",IF(E36="Completed",IF(K36&gt;5,"Red",IF(K36&gt;0,"Amber","Green")),IF(K36&gt;5,"Red",IF(K36&gt;0,"Amber","Green")))))</f>
        <v>Green</v>
      </c>
      <c r="M36" s="50" t="s">
        <v>92</v>
      </c>
      <c r="N36" s="50"/>
      <c r="O36" s="34" t="str">
        <f aca="false">$O$30</f>
        <v>RPA-005</v>
      </c>
      <c r="P36" s="34"/>
      <c r="Q36" s="51"/>
      <c r="R36" s="34" t="s">
        <v>87</v>
      </c>
      <c r="S36" s="50"/>
      <c r="T36" s="50"/>
      <c r="U36" s="51" t="str">
        <f aca="false">$U$30</f>
        <v>Medium</v>
      </c>
      <c r="V36" s="51" t="str">
        <f aca="false">IF($V$30="","",$V$30)</f>
        <v/>
      </c>
      <c r="W36" s="34" t="str">
        <f aca="false">IF($W$30="","",$W$30)</f>
        <v/>
      </c>
      <c r="X36" s="52" t="n">
        <v>46233.4534722222</v>
      </c>
      <c r="Y36" s="51" t="str">
        <f aca="false">IF($Y$30="","",$Y$30)</f>
        <v>Project Manager</v>
      </c>
    </row>
    <row r="37" customFormat="false" ht="15" hidden="false" customHeight="false" outlineLevel="0" collapsed="false">
      <c r="A37" s="41" t="s">
        <v>97</v>
      </c>
      <c r="B37" s="41" t="s">
        <v>85</v>
      </c>
      <c r="C37" s="41" t="str">
        <f aca="false">'Process Summary'!B9</f>
        <v>HIGH</v>
      </c>
      <c r="D37" s="41" t="str">
        <f aca="false">'Process Summary'!C9</f>
        <v>Developer 1</v>
      </c>
      <c r="E37" s="41" t="str">
        <f aca="false">IF(F37=100%,"Completed",IF(E38="On Hold","On Hold",IF(E39="On Hold","On Hold",IF(E40="On Hold","On Hold",IF(E41="On Hold","On Hold",IF(E42="On Hold","On Hold",IF(E43="On Hold","On Hold",IF(F37&gt;0%,"In Progress","Not Started"))))))))</f>
        <v>Not Started</v>
      </c>
      <c r="F37" s="42" t="n">
        <f aca="false">(F38*3+F39*5+F40+F41*IF(C37="LOW",13,IF(C37="MEDIUM",23,33))+F42*2+F43)/(12+IF(C37="LOW",13,IF(C37="MEDIUM",23,33)))</f>
        <v>0</v>
      </c>
      <c r="G37" s="43" t="n">
        <f aca="false">'Process Summary'!G9</f>
        <v>46224</v>
      </c>
      <c r="H37" s="43" t="n">
        <f aca="false">H43</f>
        <v>46267</v>
      </c>
      <c r="I37" s="43" t="str">
        <f aca="false">IF(COUNT(I38:I43)=0,"",MIN(I38:I43))</f>
        <v/>
      </c>
      <c r="J37" s="43" t="str">
        <f aca="false">IF(COUNT(J38:J43)=0,"",MAX(J38:J43))</f>
        <v/>
      </c>
      <c r="K37" s="41" t="n">
        <f aca="true">IF(E37="Cancelled","",IF(J37&lt;&gt;"",J37-H37,IF(AND(E37&lt;&gt;"Completed",TODAY()&gt;H37),TODAY()-H37,0)))</f>
        <v>0</v>
      </c>
      <c r="L37" s="41" t="str">
        <f aca="false">IF(E37="Cancelled","Gray",IF(E37="On Hold","Red",IF(E37="Completed",IF(K37&gt;5,"Red",IF(K37&gt;0,"Amber","Green")),IF(K37&gt;5,"Red",IF(K37&gt;0,"Amber","Green")))))</f>
        <v>Green</v>
      </c>
      <c r="M37" s="44"/>
      <c r="N37" s="44"/>
      <c r="O37" s="41" t="s">
        <v>99</v>
      </c>
      <c r="P37" s="41"/>
      <c r="Q37" s="41"/>
      <c r="R37" s="41" t="s">
        <v>87</v>
      </c>
      <c r="S37" s="44"/>
      <c r="T37" s="44"/>
      <c r="U37" s="41" t="s">
        <v>88</v>
      </c>
      <c r="V37" s="41"/>
      <c r="W37" s="41"/>
      <c r="X37" s="45" t="n">
        <v>46233.4534722222</v>
      </c>
      <c r="Y37" s="41" t="s">
        <v>89</v>
      </c>
    </row>
    <row r="38" customFormat="false" ht="15.75" hidden="false" customHeight="true" outlineLevel="0" collapsed="false">
      <c r="A38" s="51"/>
      <c r="B38" s="51" t="s">
        <v>22</v>
      </c>
      <c r="C38" s="51" t="str">
        <f aca="false">C37</f>
        <v>HIGH</v>
      </c>
      <c r="D38" s="51" t="str">
        <f aca="false">D37</f>
        <v>Developer 1</v>
      </c>
      <c r="E38" s="34" t="s">
        <v>9</v>
      </c>
      <c r="F38" s="53" t="n">
        <f aca="false">IF(E38="Completed",100%,IF(OR(E38="In Progress",E38="On Hold"),50%,0%))</f>
        <v>0</v>
      </c>
      <c r="G38" s="49" t="n">
        <f aca="false">G37</f>
        <v>46224</v>
      </c>
      <c r="H38" s="49" t="n">
        <f aca="false">G38+(Settings!$B$5)-1+2*INT((WEEKDAY(G38,1)-1+(Settings!$B$5)-1)/5)</f>
        <v>46226</v>
      </c>
      <c r="I38" s="49"/>
      <c r="J38" s="49"/>
      <c r="K38" s="51" t="n">
        <f aca="true">IF(E38="Cancelled","",IF(J38&lt;&gt;"",J38-H38,IF(AND(E38&lt;&gt;"Completed",TODAY()&gt;H38),TODAY()-H38,0)))</f>
        <v>7</v>
      </c>
      <c r="L38" s="51" t="str">
        <f aca="false">IF(E38="Cancelled","Gray",IF(E38="On Hold","Red",IF(E38="Completed",IF(K38&gt;5,"Red",IF(K38&gt;0,"Amber","Green")),IF(K38&gt;5,"Red",IF(K38&gt;0,"Amber","Green")))))</f>
        <v>Red</v>
      </c>
      <c r="M38" s="50" t="s">
        <v>90</v>
      </c>
      <c r="N38" s="50"/>
      <c r="O38" s="34" t="str">
        <f aca="false">$O$37</f>
        <v>RPA-006</v>
      </c>
      <c r="P38" s="34"/>
      <c r="Q38" s="51"/>
      <c r="R38" s="34" t="s">
        <v>87</v>
      </c>
      <c r="S38" s="50"/>
      <c r="T38" s="50"/>
      <c r="U38" s="51" t="str">
        <f aca="false">$U$37</f>
        <v>Medium</v>
      </c>
      <c r="V38" s="51" t="str">
        <f aca="false">IF($V$37="","",$V$37)</f>
        <v/>
      </c>
      <c r="W38" s="34" t="str">
        <f aca="false">IF($W$37="","",$W$37)</f>
        <v/>
      </c>
      <c r="X38" s="52" t="n">
        <v>46233.4534722222</v>
      </c>
      <c r="Y38" s="51" t="str">
        <f aca="false">IF($Y$37="","",$Y$37)</f>
        <v>Project Manager</v>
      </c>
    </row>
    <row r="39" customFormat="false" ht="15.75" hidden="false" customHeight="true" outlineLevel="0" collapsed="false">
      <c r="A39" s="51"/>
      <c r="B39" s="51" t="s">
        <v>24</v>
      </c>
      <c r="C39" s="51" t="str">
        <f aca="false">C37</f>
        <v>HIGH</v>
      </c>
      <c r="D39" s="51" t="str">
        <f aca="false">D37</f>
        <v>Developer 1</v>
      </c>
      <c r="E39" s="34" t="s">
        <v>9</v>
      </c>
      <c r="F39" s="53" t="n">
        <f aca="false">IF(E39="Completed",100%,IF(OR(E39="In Progress",E39="On Hold"),50%,0%))</f>
        <v>0</v>
      </c>
      <c r="G39" s="49" t="n">
        <f aca="false">H38+1+2*INT((WEEKDAY(H38,1)-1+1)/5)</f>
        <v>46229</v>
      </c>
      <c r="H39" s="49" t="n">
        <f aca="false">G39+(Settings!$B$6)-1+2*INT((WEEKDAY(G39,1)-1+(Settings!$B$6)-1)/5)</f>
        <v>46233</v>
      </c>
      <c r="I39" s="49"/>
      <c r="J39" s="49"/>
      <c r="K39" s="51" t="n">
        <f aca="true">IF(E39="Cancelled","",IF(J39&lt;&gt;"",J39-H39,IF(AND(E39&lt;&gt;"Completed",TODAY()&gt;H39),TODAY()-H39,0)))</f>
        <v>0</v>
      </c>
      <c r="L39" s="51" t="str">
        <f aca="false">IF(E39="Cancelled","Gray",IF(E39="On Hold","Red",IF(E39="Completed",IF(K39&gt;5,"Red",IF(K39&gt;0,"Amber","Green")),IF(K39&gt;5,"Red",IF(K39&gt;0,"Amber","Green")))))</f>
        <v>Green</v>
      </c>
      <c r="M39" s="50" t="s">
        <v>90</v>
      </c>
      <c r="N39" s="50"/>
      <c r="O39" s="34" t="str">
        <f aca="false">$O$37</f>
        <v>RPA-006</v>
      </c>
      <c r="P39" s="34"/>
      <c r="Q39" s="51"/>
      <c r="R39" s="34" t="s">
        <v>87</v>
      </c>
      <c r="S39" s="50"/>
      <c r="T39" s="50"/>
      <c r="U39" s="51" t="str">
        <f aca="false">$U$37</f>
        <v>Medium</v>
      </c>
      <c r="V39" s="51" t="str">
        <f aca="false">IF($V$37="","",$V$37)</f>
        <v/>
      </c>
      <c r="W39" s="34" t="str">
        <f aca="false">IF($W$37="","",$W$37)</f>
        <v/>
      </c>
      <c r="X39" s="52" t="n">
        <v>46233.4534722222</v>
      </c>
      <c r="Y39" s="51" t="str">
        <f aca="false">IF($Y$37="","",$Y$37)</f>
        <v>Project Manager</v>
      </c>
    </row>
    <row r="40" customFormat="false" ht="15.75" hidden="false" customHeight="true" outlineLevel="0" collapsed="false">
      <c r="A40" s="51"/>
      <c r="B40" s="51" t="s">
        <v>26</v>
      </c>
      <c r="C40" s="51" t="str">
        <f aca="false">C37</f>
        <v>HIGH</v>
      </c>
      <c r="D40" s="51" t="str">
        <f aca="false">D37</f>
        <v>Developer 1</v>
      </c>
      <c r="E40" s="34" t="s">
        <v>9</v>
      </c>
      <c r="F40" s="53" t="n">
        <f aca="false">IF(E40="Completed",100%,IF(OR(E40="In Progress",E40="On Hold"),50%,0%))</f>
        <v>0</v>
      </c>
      <c r="G40" s="49" t="n">
        <f aca="false">H39+1+2*INT((WEEKDAY(H39,1)-1+1)/5)</f>
        <v>46236</v>
      </c>
      <c r="H40" s="49" t="n">
        <f aca="false">G40+(Settings!$B$7)-1+2*INT((WEEKDAY(G40,1)-1+(Settings!$B$7)-1)/5)</f>
        <v>46236</v>
      </c>
      <c r="I40" s="49"/>
      <c r="J40" s="49"/>
      <c r="K40" s="51" t="n">
        <f aca="true">IF(E40="Cancelled","",IF(J40&lt;&gt;"",J40-H40,IF(AND(E40&lt;&gt;"Completed",TODAY()&gt;H40),TODAY()-H40,0)))</f>
        <v>0</v>
      </c>
      <c r="L40" s="51" t="str">
        <f aca="false">IF(E40="Cancelled","Gray",IF(E40="On Hold","Red",IF(E40="Completed",IF(K40&gt;5,"Red",IF(K40&gt;0,"Amber","Green")),IF(K40&gt;5,"Red",IF(K40&gt;0,"Amber","Green")))))</f>
        <v>Green</v>
      </c>
      <c r="M40" s="50" t="s">
        <v>91</v>
      </c>
      <c r="N40" s="50"/>
      <c r="O40" s="34" t="str">
        <f aca="false">$O$37</f>
        <v>RPA-006</v>
      </c>
      <c r="P40" s="34"/>
      <c r="Q40" s="51"/>
      <c r="R40" s="34" t="s">
        <v>87</v>
      </c>
      <c r="S40" s="50"/>
      <c r="T40" s="50"/>
      <c r="U40" s="51" t="str">
        <f aca="false">$U$37</f>
        <v>Medium</v>
      </c>
      <c r="V40" s="51" t="str">
        <f aca="false">IF($V$37="","",$V$37)</f>
        <v/>
      </c>
      <c r="W40" s="34" t="str">
        <f aca="false">IF($W$37="","",$W$37)</f>
        <v/>
      </c>
      <c r="X40" s="52" t="n">
        <v>46233.4534722222</v>
      </c>
      <c r="Y40" s="51" t="str">
        <f aca="false">IF($Y$37="","",$Y$37)</f>
        <v>Project Manager</v>
      </c>
    </row>
    <row r="41" customFormat="false" ht="15.75" hidden="false" customHeight="true" outlineLevel="0" collapsed="false">
      <c r="A41" s="51"/>
      <c r="B41" s="51" t="s">
        <v>28</v>
      </c>
      <c r="C41" s="51" t="str">
        <f aca="false">C37</f>
        <v>HIGH</v>
      </c>
      <c r="D41" s="51" t="str">
        <f aca="false">D37</f>
        <v>Developer 1</v>
      </c>
      <c r="E41" s="34" t="s">
        <v>9</v>
      </c>
      <c r="F41" s="53" t="n">
        <f aca="false">IF(E41="Completed",100%,IF(OR(E41="In Progress",E41="On Hold"),50%,0%))</f>
        <v>0</v>
      </c>
      <c r="G41" s="49" t="n">
        <f aca="false">H40+1+2*INT((WEEKDAY(H40,1)-1+1)/5)</f>
        <v>46237</v>
      </c>
      <c r="H41" s="49" t="n">
        <f aca="false">G41+(IF(C41="LOW",Settings!$B$8,IF(C41="MEDIUM",Settings!$B$9,Settings!$B$10)))-1+2*INT((WEEKDAY(G41,1)-1+(IF(C41="LOW",Settings!$B$8,IF(C41="MEDIUM",Settings!$B$9,Settings!$B$10)))-1)/5)</f>
        <v>46264</v>
      </c>
      <c r="I41" s="49"/>
      <c r="J41" s="49"/>
      <c r="K41" s="51" t="n">
        <f aca="true">IF(E41="Cancelled","",IF(J41&lt;&gt;"",J41-H41,IF(AND(E41&lt;&gt;"Completed",TODAY()&gt;H41),TODAY()-H41,0)))</f>
        <v>0</v>
      </c>
      <c r="L41" s="51" t="str">
        <f aca="false">IF(E41="Cancelled","Gray",IF(E41="On Hold","Red",IF(E41="Completed",IF(K41&gt;5,"Red",IF(K41&gt;0,"Amber","Green")),IF(K41&gt;5,"Red",IF(K41&gt;0,"Amber","Green")))))</f>
        <v>Green</v>
      </c>
      <c r="M41" s="50" t="s">
        <v>92</v>
      </c>
      <c r="N41" s="50"/>
      <c r="O41" s="34" t="str">
        <f aca="false">$O$37</f>
        <v>RPA-006</v>
      </c>
      <c r="P41" s="34"/>
      <c r="Q41" s="51"/>
      <c r="R41" s="34" t="s">
        <v>87</v>
      </c>
      <c r="S41" s="50"/>
      <c r="T41" s="50"/>
      <c r="U41" s="51" t="str">
        <f aca="false">$U$37</f>
        <v>Medium</v>
      </c>
      <c r="V41" s="51" t="str">
        <f aca="false">IF($V$37="","",$V$37)</f>
        <v/>
      </c>
      <c r="W41" s="34" t="str">
        <f aca="false">IF($W$37="","",$W$37)</f>
        <v/>
      </c>
      <c r="X41" s="52" t="n">
        <v>46233.4534722222</v>
      </c>
      <c r="Y41" s="51" t="str">
        <f aca="false">IF($Y$37="","",$Y$37)</f>
        <v>Project Manager</v>
      </c>
    </row>
    <row r="42" customFormat="false" ht="15.75" hidden="false" customHeight="true" outlineLevel="0" collapsed="false">
      <c r="A42" s="51"/>
      <c r="B42" s="51" t="s">
        <v>30</v>
      </c>
      <c r="C42" s="51" t="str">
        <f aca="false">C37</f>
        <v>HIGH</v>
      </c>
      <c r="D42" s="51" t="str">
        <f aca="false">D37</f>
        <v>Developer 1</v>
      </c>
      <c r="E42" s="34" t="s">
        <v>9</v>
      </c>
      <c r="F42" s="53" t="n">
        <f aca="false">IF(E42="Completed",100%,IF(OR(E42="In Progress",E42="On Hold"),50%,0%))</f>
        <v>0</v>
      </c>
      <c r="G42" s="49" t="n">
        <f aca="false">H41+1+2*INT((WEEKDAY(H41,1)-1+1)/5)</f>
        <v>46265</v>
      </c>
      <c r="H42" s="49" t="n">
        <f aca="false">G42+(Settings!$B$11)-1+2*INT((WEEKDAY(G42,1)-1+(Settings!$B$11)-1)/5)</f>
        <v>46266</v>
      </c>
      <c r="I42" s="49"/>
      <c r="J42" s="49"/>
      <c r="K42" s="51" t="n">
        <f aca="true">IF(E42="Cancelled","",IF(J42&lt;&gt;"",J42-H42,IF(AND(E42&lt;&gt;"Completed",TODAY()&gt;H42),TODAY()-H42,0)))</f>
        <v>0</v>
      </c>
      <c r="L42" s="51" t="str">
        <f aca="false">IF(E42="Cancelled","Gray",IF(E42="On Hold","Red",IF(E42="Completed",IF(K42&gt;5,"Red",IF(K42&gt;0,"Amber","Green")),IF(K42&gt;5,"Red",IF(K42&gt;0,"Amber","Green")))))</f>
        <v>Green</v>
      </c>
      <c r="M42" s="50" t="s">
        <v>93</v>
      </c>
      <c r="N42" s="50"/>
      <c r="O42" s="34" t="str">
        <f aca="false">$O$37</f>
        <v>RPA-006</v>
      </c>
      <c r="P42" s="34"/>
      <c r="Q42" s="51"/>
      <c r="R42" s="34" t="s">
        <v>87</v>
      </c>
      <c r="S42" s="50"/>
      <c r="T42" s="50"/>
      <c r="U42" s="51" t="str">
        <f aca="false">$U$37</f>
        <v>Medium</v>
      </c>
      <c r="V42" s="51" t="str">
        <f aca="false">IF($V$37="","",$V$37)</f>
        <v/>
      </c>
      <c r="W42" s="34" t="str">
        <f aca="false">IF($W$37="","",$W$37)</f>
        <v/>
      </c>
      <c r="X42" s="52" t="n">
        <v>46233.4534722222</v>
      </c>
      <c r="Y42" s="51" t="str">
        <f aca="false">IF($Y$37="","",$Y$37)</f>
        <v>Project Manager</v>
      </c>
    </row>
    <row r="43" customFormat="false" ht="15.75" hidden="false" customHeight="true" outlineLevel="0" collapsed="false">
      <c r="A43" s="51"/>
      <c r="B43" s="51" t="s">
        <v>31</v>
      </c>
      <c r="C43" s="51" t="str">
        <f aca="false">C37</f>
        <v>HIGH</v>
      </c>
      <c r="D43" s="51" t="str">
        <f aca="false">D37</f>
        <v>Developer 1</v>
      </c>
      <c r="E43" s="34" t="s">
        <v>9</v>
      </c>
      <c r="F43" s="53" t="n">
        <f aca="false">IF(E43="Completed",100%,IF(OR(E43="In Progress",E43="On Hold"),50%,0%))</f>
        <v>0</v>
      </c>
      <c r="G43" s="49" t="n">
        <f aca="false">H42+1+2*INT((WEEKDAY(H42,1)-1+1)/5)</f>
        <v>46267</v>
      </c>
      <c r="H43" s="49" t="n">
        <f aca="false">G43+(Settings!$B$12)-1+2*INT((WEEKDAY(G43,1)-1+(Settings!$B$12)-1)/5)</f>
        <v>46267</v>
      </c>
      <c r="I43" s="49"/>
      <c r="J43" s="49"/>
      <c r="K43" s="51" t="n">
        <f aca="true">IF(E43="Cancelled","",IF(J43&lt;&gt;"",J43-H43,IF(AND(E43&lt;&gt;"Completed",TODAY()&gt;H43),TODAY()-H43,0)))</f>
        <v>0</v>
      </c>
      <c r="L43" s="51" t="str">
        <f aca="false">IF(E43="Cancelled","Gray",IF(E43="On Hold","Red",IF(E43="Completed",IF(K43&gt;5,"Red",IF(K43&gt;0,"Amber","Green")),IF(K43&gt;5,"Red",IF(K43&gt;0,"Amber","Green")))))</f>
        <v>Green</v>
      </c>
      <c r="M43" s="50" t="s">
        <v>92</v>
      </c>
      <c r="N43" s="50"/>
      <c r="O43" s="34" t="str">
        <f aca="false">$O$37</f>
        <v>RPA-006</v>
      </c>
      <c r="P43" s="34"/>
      <c r="Q43" s="51"/>
      <c r="R43" s="34" t="s">
        <v>87</v>
      </c>
      <c r="S43" s="50"/>
      <c r="T43" s="50"/>
      <c r="U43" s="51" t="str">
        <f aca="false">$U$37</f>
        <v>Medium</v>
      </c>
      <c r="V43" s="51" t="str">
        <f aca="false">IF($V$37="","",$V$37)</f>
        <v/>
      </c>
      <c r="W43" s="34" t="str">
        <f aca="false">IF($W$37="","",$W$37)</f>
        <v/>
      </c>
      <c r="X43" s="52" t="n">
        <v>46233.4534722222</v>
      </c>
      <c r="Y43" s="51" t="str">
        <f aca="false">IF($Y$37="","",$Y$37)</f>
        <v>Project Manager</v>
      </c>
    </row>
    <row r="44" customFormat="false" ht="15" hidden="false" customHeight="false" outlineLevel="0" collapsed="false">
      <c r="A44" s="41" t="s">
        <v>97</v>
      </c>
      <c r="B44" s="41" t="s">
        <v>85</v>
      </c>
      <c r="C44" s="41" t="str">
        <f aca="false">'Process Summary'!B10</f>
        <v>HIGH</v>
      </c>
      <c r="D44" s="41" t="str">
        <f aca="false">'Process Summary'!C10</f>
        <v>Developer 3</v>
      </c>
      <c r="E44" s="41" t="str">
        <f aca="false">IF(F44=100%,"Completed",IF(E45="On Hold","On Hold",IF(E46="On Hold","On Hold",IF(E47="On Hold","On Hold",IF(E48="On Hold","On Hold",IF(E49="On Hold","On Hold",IF(E50="On Hold","On Hold",IF(F44&gt;0%,"In Progress","Not Started"))))))))</f>
        <v>Not Started</v>
      </c>
      <c r="F44" s="42" t="n">
        <f aca="false">(F45*3+F46*5+F47+F48*IF(C44="LOW",13,IF(C44="MEDIUM",23,33))+F49*2+F50)/(12+IF(C44="LOW",13,IF(C44="MEDIUM",23,33)))</f>
        <v>0</v>
      </c>
      <c r="G44" s="43" t="n">
        <f aca="false">'Process Summary'!G10</f>
        <v>46224</v>
      </c>
      <c r="H44" s="43" t="n">
        <f aca="false">H50</f>
        <v>46267</v>
      </c>
      <c r="I44" s="43" t="str">
        <f aca="false">IF(COUNT(I45:I50)=0,"",MIN(I45:I50))</f>
        <v/>
      </c>
      <c r="J44" s="43" t="str">
        <f aca="false">IF(COUNT(J45:J50)=0,"",MAX(J45:J50))</f>
        <v/>
      </c>
      <c r="K44" s="41" t="n">
        <f aca="true">IF(E44="Cancelled","",IF(J44&lt;&gt;"",J44-H44,IF(AND(E44&lt;&gt;"Completed",TODAY()&gt;H44),TODAY()-H44,0)))</f>
        <v>0</v>
      </c>
      <c r="L44" s="41" t="str">
        <f aca="false">IF(E44="Cancelled","Gray",IF(E44="On Hold","Red",IF(E44="Completed",IF(K44&gt;5,"Red",IF(K44&gt;0,"Amber","Green")),IF(K44&gt;5,"Red",IF(K44&gt;0,"Amber","Green")))))</f>
        <v>Green</v>
      </c>
      <c r="M44" s="44"/>
      <c r="N44" s="44"/>
      <c r="O44" s="41" t="s">
        <v>100</v>
      </c>
      <c r="P44" s="41"/>
      <c r="Q44" s="41"/>
      <c r="R44" s="41" t="s">
        <v>87</v>
      </c>
      <c r="S44" s="44"/>
      <c r="T44" s="44"/>
      <c r="U44" s="41" t="s">
        <v>88</v>
      </c>
      <c r="V44" s="41"/>
      <c r="W44" s="41"/>
      <c r="X44" s="45" t="n">
        <v>46233.4534722222</v>
      </c>
      <c r="Y44" s="41" t="s">
        <v>89</v>
      </c>
    </row>
    <row r="45" customFormat="false" ht="15.75" hidden="false" customHeight="true" outlineLevel="0" collapsed="false">
      <c r="A45" s="46"/>
      <c r="B45" s="46" t="s">
        <v>22</v>
      </c>
      <c r="C45" s="46" t="str">
        <f aca="false">C44</f>
        <v>HIGH</v>
      </c>
      <c r="D45" s="46" t="str">
        <f aca="false">D44</f>
        <v>Developer 3</v>
      </c>
      <c r="E45" s="34" t="s">
        <v>9</v>
      </c>
      <c r="F45" s="47" t="n">
        <f aca="false">IF(E45="Completed",100%,IF(OR(E45="In Progress",E45="On Hold"),50%,0%))</f>
        <v>0</v>
      </c>
      <c r="G45" s="48" t="n">
        <f aca="false">G44</f>
        <v>46224</v>
      </c>
      <c r="H45" s="48" t="n">
        <f aca="false">G45+(Settings!$B$5)-1+2*INT((WEEKDAY(G45,1)-1+(Settings!$B$5)-1)/5)</f>
        <v>46226</v>
      </c>
      <c r="I45" s="49"/>
      <c r="J45" s="49"/>
      <c r="K45" s="46" t="n">
        <f aca="true">IF(E45="Cancelled","",IF(J45&lt;&gt;"",J45-H45,IF(AND(E45&lt;&gt;"Completed",TODAY()&gt;H45),TODAY()-H45,0)))</f>
        <v>7</v>
      </c>
      <c r="L45" s="46" t="str">
        <f aca="false">IF(E45="Cancelled","Gray",IF(E45="On Hold","Red",IF(E45="Completed",IF(K45&gt;5,"Red",IF(K45&gt;0,"Amber","Green")),IF(K45&gt;5,"Red",IF(K45&gt;0,"Amber","Green")))))</f>
        <v>Red</v>
      </c>
      <c r="M45" s="50" t="s">
        <v>90</v>
      </c>
      <c r="N45" s="50"/>
      <c r="O45" s="34" t="str">
        <f aca="false">$O$44</f>
        <v>RPA-007</v>
      </c>
      <c r="P45" s="34"/>
      <c r="Q45" s="51"/>
      <c r="R45" s="34" t="s">
        <v>87</v>
      </c>
      <c r="S45" s="50"/>
      <c r="T45" s="50"/>
      <c r="U45" s="51" t="str">
        <f aca="false">$U$44</f>
        <v>Medium</v>
      </c>
      <c r="V45" s="51" t="str">
        <f aca="false">IF($V$44="","",$V$44)</f>
        <v/>
      </c>
      <c r="W45" s="34" t="str">
        <f aca="false">IF($W$44="","",$W$44)</f>
        <v/>
      </c>
      <c r="X45" s="52" t="n">
        <v>46233.4534722222</v>
      </c>
      <c r="Y45" s="51" t="str">
        <f aca="false">IF($Y$44="","",$Y$44)</f>
        <v>Project Manager</v>
      </c>
    </row>
    <row r="46" customFormat="false" ht="15.75" hidden="false" customHeight="true" outlineLevel="0" collapsed="false">
      <c r="A46" s="46"/>
      <c r="B46" s="46" t="s">
        <v>24</v>
      </c>
      <c r="C46" s="46" t="str">
        <f aca="false">C44</f>
        <v>HIGH</v>
      </c>
      <c r="D46" s="46" t="str">
        <f aca="false">D44</f>
        <v>Developer 3</v>
      </c>
      <c r="E46" s="34" t="s">
        <v>9</v>
      </c>
      <c r="F46" s="47" t="n">
        <f aca="false">IF(E46="Completed",100%,IF(OR(E46="In Progress",E46="On Hold"),50%,0%))</f>
        <v>0</v>
      </c>
      <c r="G46" s="48" t="n">
        <f aca="false">H45+1+2*INT((WEEKDAY(H45,1)-1+1)/5)</f>
        <v>46229</v>
      </c>
      <c r="H46" s="48" t="n">
        <f aca="false">G46+(Settings!$B$6)-1+2*INT((WEEKDAY(G46,1)-1+(Settings!$B$6)-1)/5)</f>
        <v>46233</v>
      </c>
      <c r="I46" s="49"/>
      <c r="J46" s="49"/>
      <c r="K46" s="46" t="n">
        <f aca="true">IF(E46="Cancelled","",IF(J46&lt;&gt;"",J46-H46,IF(AND(E46&lt;&gt;"Completed",TODAY()&gt;H46),TODAY()-H46,0)))</f>
        <v>0</v>
      </c>
      <c r="L46" s="46" t="str">
        <f aca="false">IF(E46="Cancelled","Gray",IF(E46="On Hold","Red",IF(E46="Completed",IF(K46&gt;5,"Red",IF(K46&gt;0,"Amber","Green")),IF(K46&gt;5,"Red",IF(K46&gt;0,"Amber","Green")))))</f>
        <v>Green</v>
      </c>
      <c r="M46" s="50" t="s">
        <v>90</v>
      </c>
      <c r="N46" s="50"/>
      <c r="O46" s="34" t="str">
        <f aca="false">$O$44</f>
        <v>RPA-007</v>
      </c>
      <c r="P46" s="34"/>
      <c r="Q46" s="51"/>
      <c r="R46" s="34" t="s">
        <v>87</v>
      </c>
      <c r="S46" s="50"/>
      <c r="T46" s="50"/>
      <c r="U46" s="51" t="str">
        <f aca="false">$U$44</f>
        <v>Medium</v>
      </c>
      <c r="V46" s="51" t="str">
        <f aca="false">IF($V$44="","",$V$44)</f>
        <v/>
      </c>
      <c r="W46" s="34" t="str">
        <f aca="false">IF($W$44="","",$W$44)</f>
        <v/>
      </c>
      <c r="X46" s="52" t="n">
        <v>46233.4534722222</v>
      </c>
      <c r="Y46" s="51" t="str">
        <f aca="false">IF($Y$44="","",$Y$44)</f>
        <v>Project Manager</v>
      </c>
    </row>
    <row r="47" customFormat="false" ht="15.75" hidden="false" customHeight="true" outlineLevel="0" collapsed="false">
      <c r="A47" s="46"/>
      <c r="B47" s="46" t="s">
        <v>26</v>
      </c>
      <c r="C47" s="46" t="str">
        <f aca="false">C44</f>
        <v>HIGH</v>
      </c>
      <c r="D47" s="46" t="str">
        <f aca="false">D44</f>
        <v>Developer 3</v>
      </c>
      <c r="E47" s="34" t="s">
        <v>9</v>
      </c>
      <c r="F47" s="47" t="n">
        <f aca="false">IF(E47="Completed",100%,IF(OR(E47="In Progress",E47="On Hold"),50%,0%))</f>
        <v>0</v>
      </c>
      <c r="G47" s="48" t="n">
        <f aca="false">H46+1+2*INT((WEEKDAY(H46,1)-1+1)/5)</f>
        <v>46236</v>
      </c>
      <c r="H47" s="48" t="n">
        <f aca="false">G47+(Settings!$B$7)-1+2*INT((WEEKDAY(G47,1)-1+(Settings!$B$7)-1)/5)</f>
        <v>46236</v>
      </c>
      <c r="I47" s="49"/>
      <c r="J47" s="49"/>
      <c r="K47" s="46" t="n">
        <f aca="true">IF(E47="Cancelled","",IF(J47&lt;&gt;"",J47-H47,IF(AND(E47&lt;&gt;"Completed",TODAY()&gt;H47),TODAY()-H47,0)))</f>
        <v>0</v>
      </c>
      <c r="L47" s="46" t="str">
        <f aca="false">IF(E47="Cancelled","Gray",IF(E47="On Hold","Red",IF(E47="Completed",IF(K47&gt;5,"Red",IF(K47&gt;0,"Amber","Green")),IF(K47&gt;5,"Red",IF(K47&gt;0,"Amber","Green")))))</f>
        <v>Green</v>
      </c>
      <c r="M47" s="50" t="s">
        <v>91</v>
      </c>
      <c r="N47" s="50"/>
      <c r="O47" s="34" t="str">
        <f aca="false">$O$44</f>
        <v>RPA-007</v>
      </c>
      <c r="P47" s="34"/>
      <c r="Q47" s="51"/>
      <c r="R47" s="34" t="s">
        <v>87</v>
      </c>
      <c r="S47" s="50"/>
      <c r="T47" s="50"/>
      <c r="U47" s="51" t="str">
        <f aca="false">$U$44</f>
        <v>Medium</v>
      </c>
      <c r="V47" s="51" t="str">
        <f aca="false">IF($V$44="","",$V$44)</f>
        <v/>
      </c>
      <c r="W47" s="34" t="str">
        <f aca="false">IF($W$44="","",$W$44)</f>
        <v/>
      </c>
      <c r="X47" s="52" t="n">
        <v>46233.4534722222</v>
      </c>
      <c r="Y47" s="51" t="str">
        <f aca="false">IF($Y$44="","",$Y$44)</f>
        <v>Project Manager</v>
      </c>
    </row>
    <row r="48" customFormat="false" ht="15.75" hidden="false" customHeight="true" outlineLevel="0" collapsed="false">
      <c r="A48" s="46"/>
      <c r="B48" s="46" t="s">
        <v>28</v>
      </c>
      <c r="C48" s="46" t="str">
        <f aca="false">C44</f>
        <v>HIGH</v>
      </c>
      <c r="D48" s="46" t="str">
        <f aca="false">D44</f>
        <v>Developer 3</v>
      </c>
      <c r="E48" s="34" t="s">
        <v>9</v>
      </c>
      <c r="F48" s="47" t="n">
        <f aca="false">IF(E48="Completed",100%,IF(OR(E48="In Progress",E48="On Hold"),50%,0%))</f>
        <v>0</v>
      </c>
      <c r="G48" s="48" t="n">
        <f aca="false">H47+1+2*INT((WEEKDAY(H47,1)-1+1)/5)</f>
        <v>46237</v>
      </c>
      <c r="H48" s="48" t="n">
        <f aca="false">G48+(IF(C48="LOW",Settings!$B$8,IF(C48="MEDIUM",Settings!$B$9,Settings!$B$10)))-1+2*INT((WEEKDAY(G48,1)-1+(IF(C48="LOW",Settings!$B$8,IF(C48="MEDIUM",Settings!$B$9,Settings!$B$10)))-1)/5)</f>
        <v>46264</v>
      </c>
      <c r="I48" s="49"/>
      <c r="J48" s="49"/>
      <c r="K48" s="46" t="n">
        <f aca="true">IF(E48="Cancelled","",IF(J48&lt;&gt;"",J48-H48,IF(AND(E48&lt;&gt;"Completed",TODAY()&gt;H48),TODAY()-H48,0)))</f>
        <v>0</v>
      </c>
      <c r="L48" s="46" t="str">
        <f aca="false">IF(E48="Cancelled","Gray",IF(E48="On Hold","Red",IF(E48="Completed",IF(K48&gt;5,"Red",IF(K48&gt;0,"Amber","Green")),IF(K48&gt;5,"Red",IF(K48&gt;0,"Amber","Green")))))</f>
        <v>Green</v>
      </c>
      <c r="M48" s="50" t="s">
        <v>92</v>
      </c>
      <c r="N48" s="50"/>
      <c r="O48" s="34" t="str">
        <f aca="false">$O$44</f>
        <v>RPA-007</v>
      </c>
      <c r="P48" s="34"/>
      <c r="Q48" s="51"/>
      <c r="R48" s="34" t="s">
        <v>87</v>
      </c>
      <c r="S48" s="50"/>
      <c r="T48" s="50"/>
      <c r="U48" s="51" t="str">
        <f aca="false">$U$44</f>
        <v>Medium</v>
      </c>
      <c r="V48" s="51" t="str">
        <f aca="false">IF($V$44="","",$V$44)</f>
        <v/>
      </c>
      <c r="W48" s="34" t="str">
        <f aca="false">IF($W$44="","",$W$44)</f>
        <v/>
      </c>
      <c r="X48" s="52" t="n">
        <v>46233.4534722222</v>
      </c>
      <c r="Y48" s="51" t="str">
        <f aca="false">IF($Y$44="","",$Y$44)</f>
        <v>Project Manager</v>
      </c>
    </row>
    <row r="49" customFormat="false" ht="15.75" hidden="false" customHeight="true" outlineLevel="0" collapsed="false">
      <c r="A49" s="46"/>
      <c r="B49" s="46" t="s">
        <v>30</v>
      </c>
      <c r="C49" s="46" t="str">
        <f aca="false">C44</f>
        <v>HIGH</v>
      </c>
      <c r="D49" s="46" t="str">
        <f aca="false">D44</f>
        <v>Developer 3</v>
      </c>
      <c r="E49" s="34" t="s">
        <v>9</v>
      </c>
      <c r="F49" s="47" t="n">
        <f aca="false">IF(E49="Completed",100%,IF(OR(E49="In Progress",E49="On Hold"),50%,0%))</f>
        <v>0</v>
      </c>
      <c r="G49" s="48" t="n">
        <f aca="false">H48+1+2*INT((WEEKDAY(H48,1)-1+1)/5)</f>
        <v>46265</v>
      </c>
      <c r="H49" s="48" t="n">
        <f aca="false">G49+(Settings!$B$11)-1+2*INT((WEEKDAY(G49,1)-1+(Settings!$B$11)-1)/5)</f>
        <v>46266</v>
      </c>
      <c r="I49" s="49"/>
      <c r="J49" s="49"/>
      <c r="K49" s="46" t="n">
        <f aca="true">IF(E49="Cancelled","",IF(J49&lt;&gt;"",J49-H49,IF(AND(E49&lt;&gt;"Completed",TODAY()&gt;H49),TODAY()-H49,0)))</f>
        <v>0</v>
      </c>
      <c r="L49" s="46" t="str">
        <f aca="false">IF(E49="Cancelled","Gray",IF(E49="On Hold","Red",IF(E49="Completed",IF(K49&gt;5,"Red",IF(K49&gt;0,"Amber","Green")),IF(K49&gt;5,"Red",IF(K49&gt;0,"Amber","Green")))))</f>
        <v>Green</v>
      </c>
      <c r="M49" s="50" t="s">
        <v>93</v>
      </c>
      <c r="N49" s="50"/>
      <c r="O49" s="34" t="str">
        <f aca="false">$O$44</f>
        <v>RPA-007</v>
      </c>
      <c r="P49" s="34"/>
      <c r="Q49" s="51"/>
      <c r="R49" s="34" t="s">
        <v>87</v>
      </c>
      <c r="S49" s="50"/>
      <c r="T49" s="50"/>
      <c r="U49" s="51" t="str">
        <f aca="false">$U$44</f>
        <v>Medium</v>
      </c>
      <c r="V49" s="51" t="str">
        <f aca="false">IF($V$44="","",$V$44)</f>
        <v/>
      </c>
      <c r="W49" s="34" t="str">
        <f aca="false">IF($W$44="","",$W$44)</f>
        <v/>
      </c>
      <c r="X49" s="52" t="n">
        <v>46233.4534722222</v>
      </c>
      <c r="Y49" s="51" t="str">
        <f aca="false">IF($Y$44="","",$Y$44)</f>
        <v>Project Manager</v>
      </c>
    </row>
    <row r="50" customFormat="false" ht="15.75" hidden="false" customHeight="true" outlineLevel="0" collapsed="false">
      <c r="A50" s="46"/>
      <c r="B50" s="46" t="s">
        <v>31</v>
      </c>
      <c r="C50" s="46" t="str">
        <f aca="false">C44</f>
        <v>HIGH</v>
      </c>
      <c r="D50" s="46" t="str">
        <f aca="false">D44</f>
        <v>Developer 3</v>
      </c>
      <c r="E50" s="34" t="s">
        <v>9</v>
      </c>
      <c r="F50" s="47" t="n">
        <f aca="false">IF(E50="Completed",100%,IF(OR(E50="In Progress",E50="On Hold"),50%,0%))</f>
        <v>0</v>
      </c>
      <c r="G50" s="48" t="n">
        <f aca="false">H49+1+2*INT((WEEKDAY(H49,1)-1+1)/5)</f>
        <v>46267</v>
      </c>
      <c r="H50" s="48" t="n">
        <f aca="false">G50+(Settings!$B$12)-1+2*INT((WEEKDAY(G50,1)-1+(Settings!$B$12)-1)/5)</f>
        <v>46267</v>
      </c>
      <c r="I50" s="49"/>
      <c r="J50" s="49"/>
      <c r="K50" s="46" t="n">
        <f aca="true">IF(E50="Cancelled","",IF(J50&lt;&gt;"",J50-H50,IF(AND(E50&lt;&gt;"Completed",TODAY()&gt;H50),TODAY()-H50,0)))</f>
        <v>0</v>
      </c>
      <c r="L50" s="46" t="str">
        <f aca="false">IF(E50="Cancelled","Gray",IF(E50="On Hold","Red",IF(E50="Completed",IF(K50&gt;5,"Red",IF(K50&gt;0,"Amber","Green")),IF(K50&gt;5,"Red",IF(K50&gt;0,"Amber","Green")))))</f>
        <v>Green</v>
      </c>
      <c r="M50" s="50" t="s">
        <v>92</v>
      </c>
      <c r="N50" s="50"/>
      <c r="O50" s="34" t="str">
        <f aca="false">$O$44</f>
        <v>RPA-007</v>
      </c>
      <c r="P50" s="34"/>
      <c r="Q50" s="51"/>
      <c r="R50" s="34" t="s">
        <v>87</v>
      </c>
      <c r="S50" s="50"/>
      <c r="T50" s="50"/>
      <c r="U50" s="51" t="str">
        <f aca="false">$U$44</f>
        <v>Medium</v>
      </c>
      <c r="V50" s="51" t="str">
        <f aca="false">IF($V$44="","",$V$44)</f>
        <v/>
      </c>
      <c r="W50" s="34" t="str">
        <f aca="false">IF($W$44="","",$W$44)</f>
        <v/>
      </c>
      <c r="X50" s="52" t="n">
        <v>46233.4534722222</v>
      </c>
      <c r="Y50" s="51" t="str">
        <f aca="false">IF($Y$44="","",$Y$44)</f>
        <v>Project Manager</v>
      </c>
    </row>
    <row r="51" customFormat="false" ht="15" hidden="false" customHeight="false" outlineLevel="0" collapsed="false">
      <c r="A51" s="41" t="s">
        <v>97</v>
      </c>
      <c r="B51" s="41" t="s">
        <v>85</v>
      </c>
      <c r="C51" s="41" t="str">
        <f aca="false">'Process Summary'!B11</f>
        <v>HIGH</v>
      </c>
      <c r="D51" s="41" t="str">
        <f aca="false">'Process Summary'!C11</f>
        <v>Developer 4</v>
      </c>
      <c r="E51" s="41" t="str">
        <f aca="false">IF(F51=100%,"Completed",IF(E52="On Hold","On Hold",IF(E53="On Hold","On Hold",IF(E54="On Hold","On Hold",IF(E55="On Hold","On Hold",IF(E56="On Hold","On Hold",IF(E57="On Hold","On Hold",IF(F51&gt;0%,"In Progress","Not Started"))))))))</f>
        <v>Not Started</v>
      </c>
      <c r="F51" s="42" t="n">
        <f aca="false">(F52*3+F53*5+F54+F55*IF(C51="LOW",13,IF(C51="MEDIUM",23,33))+F56*2+F57)/(12+IF(C51="LOW",13,IF(C51="MEDIUM",23,33)))</f>
        <v>0</v>
      </c>
      <c r="G51" s="43" t="n">
        <f aca="false">'Process Summary'!G11</f>
        <v>46224</v>
      </c>
      <c r="H51" s="43" t="n">
        <f aca="false">H57</f>
        <v>46267</v>
      </c>
      <c r="I51" s="43" t="str">
        <f aca="false">IF(COUNT(I52:I57)=0,"",MIN(I52:I57))</f>
        <v/>
      </c>
      <c r="J51" s="43" t="str">
        <f aca="false">IF(COUNT(J52:J57)=0,"",MAX(J52:J57))</f>
        <v/>
      </c>
      <c r="K51" s="41" t="n">
        <f aca="true">IF(E51="Cancelled","",IF(J51&lt;&gt;"",J51-H51,IF(AND(E51&lt;&gt;"Completed",TODAY()&gt;H51),TODAY()-H51,0)))</f>
        <v>0</v>
      </c>
      <c r="L51" s="41" t="str">
        <f aca="false">IF(E51="Cancelled","Gray",IF(E51="On Hold","Red",IF(E51="Completed",IF(K51&gt;5,"Red",IF(K51&gt;0,"Amber","Green")),IF(K51&gt;5,"Red",IF(K51&gt;0,"Amber","Green")))))</f>
        <v>Green</v>
      </c>
      <c r="M51" s="44"/>
      <c r="N51" s="44"/>
      <c r="O51" s="41" t="s">
        <v>101</v>
      </c>
      <c r="P51" s="41"/>
      <c r="Q51" s="41"/>
      <c r="R51" s="41" t="s">
        <v>87</v>
      </c>
      <c r="S51" s="44"/>
      <c r="T51" s="44"/>
      <c r="U51" s="41" t="s">
        <v>88</v>
      </c>
      <c r="V51" s="41"/>
      <c r="W51" s="41"/>
      <c r="X51" s="45" t="n">
        <v>46233.4534722222</v>
      </c>
      <c r="Y51" s="41" t="s">
        <v>89</v>
      </c>
    </row>
    <row r="52" customFormat="false" ht="15.75" hidden="false" customHeight="true" outlineLevel="0" collapsed="false">
      <c r="A52" s="51"/>
      <c r="B52" s="51" t="s">
        <v>22</v>
      </c>
      <c r="C52" s="51" t="str">
        <f aca="false">C51</f>
        <v>HIGH</v>
      </c>
      <c r="D52" s="51" t="str">
        <f aca="false">D51</f>
        <v>Developer 4</v>
      </c>
      <c r="E52" s="34" t="s">
        <v>9</v>
      </c>
      <c r="F52" s="53" t="n">
        <f aca="false">IF(E52="Completed",100%,IF(OR(E52="In Progress",E52="On Hold"),50%,0%))</f>
        <v>0</v>
      </c>
      <c r="G52" s="49" t="n">
        <f aca="false">G51</f>
        <v>46224</v>
      </c>
      <c r="H52" s="49" t="n">
        <f aca="false">G52+(Settings!$B$5)-1+2*INT((WEEKDAY(G52,1)-1+(Settings!$B$5)-1)/5)</f>
        <v>46226</v>
      </c>
      <c r="I52" s="49"/>
      <c r="J52" s="49"/>
      <c r="K52" s="51" t="n">
        <f aca="true">IF(E52="Cancelled","",IF(J52&lt;&gt;"",J52-H52,IF(AND(E52&lt;&gt;"Completed",TODAY()&gt;H52),TODAY()-H52,0)))</f>
        <v>7</v>
      </c>
      <c r="L52" s="51" t="str">
        <f aca="false">IF(E52="Cancelled","Gray",IF(E52="On Hold","Red",IF(E52="Completed",IF(K52&gt;5,"Red",IF(K52&gt;0,"Amber","Green")),IF(K52&gt;5,"Red",IF(K52&gt;0,"Amber","Green")))))</f>
        <v>Red</v>
      </c>
      <c r="M52" s="50" t="s">
        <v>90</v>
      </c>
      <c r="N52" s="50"/>
      <c r="O52" s="34" t="str">
        <f aca="false">$O$51</f>
        <v>RPA-008</v>
      </c>
      <c r="P52" s="34"/>
      <c r="Q52" s="51"/>
      <c r="R52" s="34" t="s">
        <v>87</v>
      </c>
      <c r="S52" s="50"/>
      <c r="T52" s="50"/>
      <c r="U52" s="51" t="str">
        <f aca="false">$U$51</f>
        <v>Medium</v>
      </c>
      <c r="V52" s="51" t="str">
        <f aca="false">IF($V$51="","",$V$51)</f>
        <v/>
      </c>
      <c r="W52" s="34" t="str">
        <f aca="false">IF($W$51="","",$W$51)</f>
        <v/>
      </c>
      <c r="X52" s="52" t="n">
        <v>46233.4534722222</v>
      </c>
      <c r="Y52" s="51" t="str">
        <f aca="false">IF($Y$51="","",$Y$51)</f>
        <v>Project Manager</v>
      </c>
    </row>
    <row r="53" customFormat="false" ht="15.75" hidden="false" customHeight="true" outlineLevel="0" collapsed="false">
      <c r="A53" s="51"/>
      <c r="B53" s="51" t="s">
        <v>24</v>
      </c>
      <c r="C53" s="51" t="str">
        <f aca="false">C51</f>
        <v>HIGH</v>
      </c>
      <c r="D53" s="51" t="str">
        <f aca="false">D51</f>
        <v>Developer 4</v>
      </c>
      <c r="E53" s="34" t="s">
        <v>9</v>
      </c>
      <c r="F53" s="53" t="n">
        <f aca="false">IF(E53="Completed",100%,IF(OR(E53="In Progress",E53="On Hold"),50%,0%))</f>
        <v>0</v>
      </c>
      <c r="G53" s="49" t="n">
        <f aca="false">H52+1+2*INT((WEEKDAY(H52,1)-1+1)/5)</f>
        <v>46229</v>
      </c>
      <c r="H53" s="49" t="n">
        <f aca="false">G53+(Settings!$B$6)-1+2*INT((WEEKDAY(G53,1)-1+(Settings!$B$6)-1)/5)</f>
        <v>46233</v>
      </c>
      <c r="I53" s="49"/>
      <c r="J53" s="49"/>
      <c r="K53" s="51" t="n">
        <f aca="true">IF(E53="Cancelled","",IF(J53&lt;&gt;"",J53-H53,IF(AND(E53&lt;&gt;"Completed",TODAY()&gt;H53),TODAY()-H53,0)))</f>
        <v>0</v>
      </c>
      <c r="L53" s="51" t="str">
        <f aca="false">IF(E53="Cancelled","Gray",IF(E53="On Hold","Red",IF(E53="Completed",IF(K53&gt;5,"Red",IF(K53&gt;0,"Amber","Green")),IF(K53&gt;5,"Red",IF(K53&gt;0,"Amber","Green")))))</f>
        <v>Green</v>
      </c>
      <c r="M53" s="50" t="s">
        <v>90</v>
      </c>
      <c r="N53" s="50"/>
      <c r="O53" s="34" t="str">
        <f aca="false">$O$51</f>
        <v>RPA-008</v>
      </c>
      <c r="P53" s="34"/>
      <c r="Q53" s="51"/>
      <c r="R53" s="34" t="s">
        <v>87</v>
      </c>
      <c r="S53" s="50"/>
      <c r="T53" s="50"/>
      <c r="U53" s="51" t="str">
        <f aca="false">$U$51</f>
        <v>Medium</v>
      </c>
      <c r="V53" s="51" t="str">
        <f aca="false">IF($V$51="","",$V$51)</f>
        <v/>
      </c>
      <c r="W53" s="34" t="str">
        <f aca="false">IF($W$51="","",$W$51)</f>
        <v/>
      </c>
      <c r="X53" s="52" t="n">
        <v>46233.4534722222</v>
      </c>
      <c r="Y53" s="51" t="str">
        <f aca="false">IF($Y$51="","",$Y$51)</f>
        <v>Project Manager</v>
      </c>
    </row>
    <row r="54" customFormat="false" ht="15.75" hidden="false" customHeight="true" outlineLevel="0" collapsed="false">
      <c r="A54" s="51"/>
      <c r="B54" s="51" t="s">
        <v>26</v>
      </c>
      <c r="C54" s="51" t="str">
        <f aca="false">C51</f>
        <v>HIGH</v>
      </c>
      <c r="D54" s="51" t="str">
        <f aca="false">D51</f>
        <v>Developer 4</v>
      </c>
      <c r="E54" s="34" t="s">
        <v>9</v>
      </c>
      <c r="F54" s="53" t="n">
        <f aca="false">IF(E54="Completed",100%,IF(OR(E54="In Progress",E54="On Hold"),50%,0%))</f>
        <v>0</v>
      </c>
      <c r="G54" s="49" t="n">
        <f aca="false">H53+1+2*INT((WEEKDAY(H53,1)-1+1)/5)</f>
        <v>46236</v>
      </c>
      <c r="H54" s="49" t="n">
        <f aca="false">G54+(Settings!$B$7)-1+2*INT((WEEKDAY(G54,1)-1+(Settings!$B$7)-1)/5)</f>
        <v>46236</v>
      </c>
      <c r="I54" s="49"/>
      <c r="J54" s="49"/>
      <c r="K54" s="51" t="n">
        <f aca="true">IF(E54="Cancelled","",IF(J54&lt;&gt;"",J54-H54,IF(AND(E54&lt;&gt;"Completed",TODAY()&gt;H54),TODAY()-H54,0)))</f>
        <v>0</v>
      </c>
      <c r="L54" s="51" t="str">
        <f aca="false">IF(E54="Cancelled","Gray",IF(E54="On Hold","Red",IF(E54="Completed",IF(K54&gt;5,"Red",IF(K54&gt;0,"Amber","Green")),IF(K54&gt;5,"Red",IF(K54&gt;0,"Amber","Green")))))</f>
        <v>Green</v>
      </c>
      <c r="M54" s="50" t="s">
        <v>91</v>
      </c>
      <c r="N54" s="50"/>
      <c r="O54" s="34" t="str">
        <f aca="false">$O$51</f>
        <v>RPA-008</v>
      </c>
      <c r="P54" s="34"/>
      <c r="Q54" s="51"/>
      <c r="R54" s="34" t="s">
        <v>87</v>
      </c>
      <c r="S54" s="50"/>
      <c r="T54" s="50"/>
      <c r="U54" s="51" t="str">
        <f aca="false">$U$51</f>
        <v>Medium</v>
      </c>
      <c r="V54" s="51" t="str">
        <f aca="false">IF($V$51="","",$V$51)</f>
        <v/>
      </c>
      <c r="W54" s="34" t="str">
        <f aca="false">IF($W$51="","",$W$51)</f>
        <v/>
      </c>
      <c r="X54" s="52" t="n">
        <v>46233.4534722222</v>
      </c>
      <c r="Y54" s="51" t="str">
        <f aca="false">IF($Y$51="","",$Y$51)</f>
        <v>Project Manager</v>
      </c>
    </row>
    <row r="55" customFormat="false" ht="15.75" hidden="false" customHeight="true" outlineLevel="0" collapsed="false">
      <c r="A55" s="51"/>
      <c r="B55" s="51" t="s">
        <v>28</v>
      </c>
      <c r="C55" s="51" t="str">
        <f aca="false">C51</f>
        <v>HIGH</v>
      </c>
      <c r="D55" s="51" t="str">
        <f aca="false">D51</f>
        <v>Developer 4</v>
      </c>
      <c r="E55" s="34" t="s">
        <v>9</v>
      </c>
      <c r="F55" s="53" t="n">
        <f aca="false">IF(E55="Completed",100%,IF(OR(E55="In Progress",E55="On Hold"),50%,0%))</f>
        <v>0</v>
      </c>
      <c r="G55" s="49" t="n">
        <f aca="false">H54+1+2*INT((WEEKDAY(H54,1)-1+1)/5)</f>
        <v>46237</v>
      </c>
      <c r="H55" s="49" t="n">
        <f aca="false">G55+(IF(C55="LOW",Settings!$B$8,IF(C55="MEDIUM",Settings!$B$9,Settings!$B$10)))-1+2*INT((WEEKDAY(G55,1)-1+(IF(C55="LOW",Settings!$B$8,IF(C55="MEDIUM",Settings!$B$9,Settings!$B$10)))-1)/5)</f>
        <v>46264</v>
      </c>
      <c r="I55" s="49"/>
      <c r="J55" s="49"/>
      <c r="K55" s="51" t="n">
        <f aca="true">IF(E55="Cancelled","",IF(J55&lt;&gt;"",J55-H55,IF(AND(E55&lt;&gt;"Completed",TODAY()&gt;H55),TODAY()-H55,0)))</f>
        <v>0</v>
      </c>
      <c r="L55" s="51" t="str">
        <f aca="false">IF(E55="Cancelled","Gray",IF(E55="On Hold","Red",IF(E55="Completed",IF(K55&gt;5,"Red",IF(K55&gt;0,"Amber","Green")),IF(K55&gt;5,"Red",IF(K55&gt;0,"Amber","Green")))))</f>
        <v>Green</v>
      </c>
      <c r="M55" s="50" t="s">
        <v>92</v>
      </c>
      <c r="N55" s="50"/>
      <c r="O55" s="34" t="str">
        <f aca="false">$O$51</f>
        <v>RPA-008</v>
      </c>
      <c r="P55" s="34"/>
      <c r="Q55" s="51"/>
      <c r="R55" s="34" t="s">
        <v>87</v>
      </c>
      <c r="S55" s="50"/>
      <c r="T55" s="50"/>
      <c r="U55" s="51" t="str">
        <f aca="false">$U$51</f>
        <v>Medium</v>
      </c>
      <c r="V55" s="51" t="str">
        <f aca="false">IF($V$51="","",$V$51)</f>
        <v/>
      </c>
      <c r="W55" s="34" t="str">
        <f aca="false">IF($W$51="","",$W$51)</f>
        <v/>
      </c>
      <c r="X55" s="52" t="n">
        <v>46233.4534722222</v>
      </c>
      <c r="Y55" s="51" t="str">
        <f aca="false">IF($Y$51="","",$Y$51)</f>
        <v>Project Manager</v>
      </c>
    </row>
    <row r="56" customFormat="false" ht="15.75" hidden="false" customHeight="true" outlineLevel="0" collapsed="false">
      <c r="A56" s="51"/>
      <c r="B56" s="51" t="s">
        <v>30</v>
      </c>
      <c r="C56" s="51" t="str">
        <f aca="false">C51</f>
        <v>HIGH</v>
      </c>
      <c r="D56" s="51" t="str">
        <f aca="false">D51</f>
        <v>Developer 4</v>
      </c>
      <c r="E56" s="34" t="s">
        <v>9</v>
      </c>
      <c r="F56" s="53" t="n">
        <f aca="false">IF(E56="Completed",100%,IF(OR(E56="In Progress",E56="On Hold"),50%,0%))</f>
        <v>0</v>
      </c>
      <c r="G56" s="49" t="n">
        <f aca="false">H55+1+2*INT((WEEKDAY(H55,1)-1+1)/5)</f>
        <v>46265</v>
      </c>
      <c r="H56" s="49" t="n">
        <f aca="false">G56+(Settings!$B$11)-1+2*INT((WEEKDAY(G56,1)-1+(Settings!$B$11)-1)/5)</f>
        <v>46266</v>
      </c>
      <c r="I56" s="49"/>
      <c r="J56" s="49"/>
      <c r="K56" s="51" t="n">
        <f aca="true">IF(E56="Cancelled","",IF(J56&lt;&gt;"",J56-H56,IF(AND(E56&lt;&gt;"Completed",TODAY()&gt;H56),TODAY()-H56,0)))</f>
        <v>0</v>
      </c>
      <c r="L56" s="51" t="str">
        <f aca="false">IF(E56="Cancelled","Gray",IF(E56="On Hold","Red",IF(E56="Completed",IF(K56&gt;5,"Red",IF(K56&gt;0,"Amber","Green")),IF(K56&gt;5,"Red",IF(K56&gt;0,"Amber","Green")))))</f>
        <v>Green</v>
      </c>
      <c r="M56" s="50" t="s">
        <v>93</v>
      </c>
      <c r="N56" s="50"/>
      <c r="O56" s="34" t="str">
        <f aca="false">$O$51</f>
        <v>RPA-008</v>
      </c>
      <c r="P56" s="34"/>
      <c r="Q56" s="51"/>
      <c r="R56" s="34" t="s">
        <v>87</v>
      </c>
      <c r="S56" s="50"/>
      <c r="T56" s="50"/>
      <c r="U56" s="51" t="str">
        <f aca="false">$U$51</f>
        <v>Medium</v>
      </c>
      <c r="V56" s="51" t="str">
        <f aca="false">IF($V$51="","",$V$51)</f>
        <v/>
      </c>
      <c r="W56" s="34" t="str">
        <f aca="false">IF($W$51="","",$W$51)</f>
        <v/>
      </c>
      <c r="X56" s="52" t="n">
        <v>46233.4534722222</v>
      </c>
      <c r="Y56" s="51" t="str">
        <f aca="false">IF($Y$51="","",$Y$51)</f>
        <v>Project Manager</v>
      </c>
    </row>
    <row r="57" customFormat="false" ht="15.75" hidden="false" customHeight="true" outlineLevel="0" collapsed="false">
      <c r="A57" s="51"/>
      <c r="B57" s="51" t="s">
        <v>31</v>
      </c>
      <c r="C57" s="51" t="str">
        <f aca="false">C51</f>
        <v>HIGH</v>
      </c>
      <c r="D57" s="51" t="str">
        <f aca="false">D51</f>
        <v>Developer 4</v>
      </c>
      <c r="E57" s="34" t="s">
        <v>9</v>
      </c>
      <c r="F57" s="53" t="n">
        <f aca="false">IF(E57="Completed",100%,IF(OR(E57="In Progress",E57="On Hold"),50%,0%))</f>
        <v>0</v>
      </c>
      <c r="G57" s="49" t="n">
        <f aca="false">H56+1+2*INT((WEEKDAY(H56,1)-1+1)/5)</f>
        <v>46267</v>
      </c>
      <c r="H57" s="49" t="n">
        <f aca="false">G57+(Settings!$B$12)-1+2*INT((WEEKDAY(G57,1)-1+(Settings!$B$12)-1)/5)</f>
        <v>46267</v>
      </c>
      <c r="I57" s="49"/>
      <c r="J57" s="49"/>
      <c r="K57" s="51" t="n">
        <f aca="true">IF(E57="Cancelled","",IF(J57&lt;&gt;"",J57-H57,IF(AND(E57&lt;&gt;"Completed",TODAY()&gt;H57),TODAY()-H57,0)))</f>
        <v>0</v>
      </c>
      <c r="L57" s="51" t="str">
        <f aca="false">IF(E57="Cancelled","Gray",IF(E57="On Hold","Red",IF(E57="Completed",IF(K57&gt;5,"Red",IF(K57&gt;0,"Amber","Green")),IF(K57&gt;5,"Red",IF(K57&gt;0,"Amber","Green")))))</f>
        <v>Green</v>
      </c>
      <c r="M57" s="50" t="s">
        <v>92</v>
      </c>
      <c r="N57" s="50"/>
      <c r="O57" s="34" t="str">
        <f aca="false">$O$51</f>
        <v>RPA-008</v>
      </c>
      <c r="P57" s="34"/>
      <c r="Q57" s="51"/>
      <c r="R57" s="34" t="s">
        <v>87</v>
      </c>
      <c r="S57" s="50"/>
      <c r="T57" s="50"/>
      <c r="U57" s="51" t="str">
        <f aca="false">$U$51</f>
        <v>Medium</v>
      </c>
      <c r="V57" s="51" t="str">
        <f aca="false">IF($V$51="","",$V$51)</f>
        <v/>
      </c>
      <c r="W57" s="34" t="str">
        <f aca="false">IF($W$51="","",$W$51)</f>
        <v/>
      </c>
      <c r="X57" s="52" t="n">
        <v>46233.4534722222</v>
      </c>
      <c r="Y57" s="51" t="str">
        <f aca="false">IF($Y$51="","",$Y$51)</f>
        <v>Project Manager</v>
      </c>
    </row>
    <row r="58" customFormat="false" ht="15" hidden="false" customHeight="false" outlineLevel="0" collapsed="false">
      <c r="A58" s="41" t="s">
        <v>97</v>
      </c>
      <c r="B58" s="41" t="s">
        <v>85</v>
      </c>
      <c r="C58" s="41" t="str">
        <f aca="false">'Process Summary'!B12</f>
        <v>HIGH</v>
      </c>
      <c r="D58" s="41" t="str">
        <f aca="false">'Process Summary'!C12</f>
        <v>Developer 2</v>
      </c>
      <c r="E58" s="41" t="str">
        <f aca="false">IF(F58=100%,"Completed",IF(E59="On Hold","On Hold",IF(E60="On Hold","On Hold",IF(E61="On Hold","On Hold",IF(E62="On Hold","On Hold",IF(E63="On Hold","On Hold",IF(E64="On Hold","On Hold",IF(F58&gt;0%,"In Progress","Not Started"))))))))</f>
        <v>Not Started</v>
      </c>
      <c r="F58" s="42" t="n">
        <f aca="false">(F59*3+F60*5+F61+F62*IF(C58="LOW",13,IF(C58="MEDIUM",23,33))+F63*2+F64)/(12+IF(C58="LOW",13,IF(C58="MEDIUM",23,33)))</f>
        <v>0</v>
      </c>
      <c r="G58" s="43" t="n">
        <f aca="false">'Process Summary'!G12</f>
        <v>46261</v>
      </c>
      <c r="H58" s="43" t="n">
        <f aca="false">H64</f>
        <v>46306</v>
      </c>
      <c r="I58" s="43" t="str">
        <f aca="false">IF(COUNT(I59:I64)=0,"",MIN(I59:I64))</f>
        <v/>
      </c>
      <c r="J58" s="43" t="str">
        <f aca="false">IF(COUNT(J59:J64)=0,"",MAX(J59:J64))</f>
        <v/>
      </c>
      <c r="K58" s="41" t="n">
        <f aca="true">IF(E58="Cancelled","",IF(J58&lt;&gt;"",J58-H58,IF(AND(E58&lt;&gt;"Completed",TODAY()&gt;H58),TODAY()-H58,0)))</f>
        <v>0</v>
      </c>
      <c r="L58" s="41" t="str">
        <f aca="false">IF(E58="Cancelled","Gray",IF(E58="On Hold","Red",IF(E58="Completed",IF(K58&gt;5,"Red",IF(K58&gt;0,"Amber","Green")),IF(K58&gt;5,"Red",IF(K58&gt;0,"Amber","Green")))))</f>
        <v>Green</v>
      </c>
      <c r="M58" s="44"/>
      <c r="N58" s="44"/>
      <c r="O58" s="41" t="s">
        <v>102</v>
      </c>
      <c r="P58" s="41"/>
      <c r="Q58" s="41"/>
      <c r="R58" s="41" t="s">
        <v>87</v>
      </c>
      <c r="S58" s="44"/>
      <c r="T58" s="44"/>
      <c r="U58" s="41" t="s">
        <v>88</v>
      </c>
      <c r="V58" s="41"/>
      <c r="W58" s="41"/>
      <c r="X58" s="45" t="n">
        <v>46233.4534722222</v>
      </c>
      <c r="Y58" s="41" t="s">
        <v>89</v>
      </c>
    </row>
    <row r="59" customFormat="false" ht="15.75" hidden="false" customHeight="true" outlineLevel="0" collapsed="false">
      <c r="A59" s="46"/>
      <c r="B59" s="46" t="s">
        <v>22</v>
      </c>
      <c r="C59" s="46" t="str">
        <f aca="false">C58</f>
        <v>HIGH</v>
      </c>
      <c r="D59" s="46" t="str">
        <f aca="false">D58</f>
        <v>Developer 2</v>
      </c>
      <c r="E59" s="34" t="s">
        <v>9</v>
      </c>
      <c r="F59" s="47" t="n">
        <f aca="false">IF(E59="Completed",100%,IF(OR(E59="In Progress",E59="On Hold"),50%,0%))</f>
        <v>0</v>
      </c>
      <c r="G59" s="48" t="n">
        <f aca="false">G58</f>
        <v>46261</v>
      </c>
      <c r="H59" s="48" t="n">
        <f aca="false">G59+(Settings!$B$5)-1+2*INT((WEEKDAY(G59,1)-1+(Settings!$B$5)-1)/5)</f>
        <v>46265</v>
      </c>
      <c r="I59" s="49"/>
      <c r="J59" s="49"/>
      <c r="K59" s="46" t="n">
        <f aca="true">IF(E59="Cancelled","",IF(J59&lt;&gt;"",J59-H59,IF(AND(E59&lt;&gt;"Completed",TODAY()&gt;H59),TODAY()-H59,0)))</f>
        <v>0</v>
      </c>
      <c r="L59" s="46" t="str">
        <f aca="false">IF(E59="Cancelled","Gray",IF(E59="On Hold","Red",IF(E59="Completed",IF(K59&gt;5,"Red",IF(K59&gt;0,"Amber","Green")),IF(K59&gt;5,"Red",IF(K59&gt;0,"Amber","Green")))))</f>
        <v>Green</v>
      </c>
      <c r="M59" s="50" t="s">
        <v>90</v>
      </c>
      <c r="N59" s="50"/>
      <c r="O59" s="34" t="str">
        <f aca="false">$O$58</f>
        <v>RPA-009</v>
      </c>
      <c r="P59" s="34"/>
      <c r="Q59" s="51"/>
      <c r="R59" s="34" t="s">
        <v>87</v>
      </c>
      <c r="S59" s="50"/>
      <c r="T59" s="50"/>
      <c r="U59" s="51" t="str">
        <f aca="false">$U$58</f>
        <v>Medium</v>
      </c>
      <c r="V59" s="51" t="str">
        <f aca="false">IF($V$58="","",$V$58)</f>
        <v/>
      </c>
      <c r="W59" s="34" t="str">
        <f aca="false">IF($W$58="","",$W$58)</f>
        <v/>
      </c>
      <c r="X59" s="52" t="n">
        <v>46233.4534722222</v>
      </c>
      <c r="Y59" s="51" t="str">
        <f aca="false">IF($Y$58="","",$Y$58)</f>
        <v>Project Manager</v>
      </c>
    </row>
    <row r="60" customFormat="false" ht="15.75" hidden="false" customHeight="true" outlineLevel="0" collapsed="false">
      <c r="A60" s="46"/>
      <c r="B60" s="46" t="s">
        <v>24</v>
      </c>
      <c r="C60" s="46" t="str">
        <f aca="false">C58</f>
        <v>HIGH</v>
      </c>
      <c r="D60" s="46" t="str">
        <f aca="false">D58</f>
        <v>Developer 2</v>
      </c>
      <c r="E60" s="34" t="s">
        <v>9</v>
      </c>
      <c r="F60" s="47" t="n">
        <f aca="false">IF(E60="Completed",100%,IF(OR(E60="In Progress",E60="On Hold"),50%,0%))</f>
        <v>0</v>
      </c>
      <c r="G60" s="48" t="n">
        <f aca="false">H59+1+2*INT((WEEKDAY(H59,1)-1+1)/5)</f>
        <v>46266</v>
      </c>
      <c r="H60" s="48" t="n">
        <f aca="false">G60+(Settings!$B$6)-1+2*INT((WEEKDAY(G60,1)-1+(Settings!$B$6)-1)/5)</f>
        <v>46272</v>
      </c>
      <c r="I60" s="49"/>
      <c r="J60" s="49"/>
      <c r="K60" s="46" t="n">
        <f aca="true">IF(E60="Cancelled","",IF(J60&lt;&gt;"",J60-H60,IF(AND(E60&lt;&gt;"Completed",TODAY()&gt;H60),TODAY()-H60,0)))</f>
        <v>0</v>
      </c>
      <c r="L60" s="46" t="str">
        <f aca="false">IF(E60="Cancelled","Gray",IF(E60="On Hold","Red",IF(E60="Completed",IF(K60&gt;5,"Red",IF(K60&gt;0,"Amber","Green")),IF(K60&gt;5,"Red",IF(K60&gt;0,"Amber","Green")))))</f>
        <v>Green</v>
      </c>
      <c r="M60" s="50" t="s">
        <v>90</v>
      </c>
      <c r="N60" s="50"/>
      <c r="O60" s="34" t="str">
        <f aca="false">$O$58</f>
        <v>RPA-009</v>
      </c>
      <c r="P60" s="34"/>
      <c r="Q60" s="51"/>
      <c r="R60" s="34" t="s">
        <v>87</v>
      </c>
      <c r="S60" s="50"/>
      <c r="T60" s="50"/>
      <c r="U60" s="51" t="str">
        <f aca="false">$U$58</f>
        <v>Medium</v>
      </c>
      <c r="V60" s="51" t="str">
        <f aca="false">IF($V$58="","",$V$58)</f>
        <v/>
      </c>
      <c r="W60" s="34" t="str">
        <f aca="false">IF($W$58="","",$W$58)</f>
        <v/>
      </c>
      <c r="X60" s="52" t="n">
        <v>46233.4534722222</v>
      </c>
      <c r="Y60" s="51" t="str">
        <f aca="false">IF($Y$58="","",$Y$58)</f>
        <v>Project Manager</v>
      </c>
    </row>
    <row r="61" customFormat="false" ht="15.75" hidden="false" customHeight="true" outlineLevel="0" collapsed="false">
      <c r="A61" s="46"/>
      <c r="B61" s="46" t="s">
        <v>26</v>
      </c>
      <c r="C61" s="46" t="str">
        <f aca="false">C58</f>
        <v>HIGH</v>
      </c>
      <c r="D61" s="46" t="str">
        <f aca="false">D58</f>
        <v>Developer 2</v>
      </c>
      <c r="E61" s="34" t="s">
        <v>9</v>
      </c>
      <c r="F61" s="47" t="n">
        <f aca="false">IF(E61="Completed",100%,IF(OR(E61="In Progress",E61="On Hold"),50%,0%))</f>
        <v>0</v>
      </c>
      <c r="G61" s="48" t="n">
        <f aca="false">H60+1+2*INT((WEEKDAY(H60,1)-1+1)/5)</f>
        <v>46273</v>
      </c>
      <c r="H61" s="48" t="n">
        <f aca="false">G61+(Settings!$B$7)-1+2*INT((WEEKDAY(G61,1)-1+(Settings!$B$7)-1)/5)</f>
        <v>46273</v>
      </c>
      <c r="I61" s="49"/>
      <c r="J61" s="49"/>
      <c r="K61" s="46" t="n">
        <f aca="true">IF(E61="Cancelled","",IF(J61&lt;&gt;"",J61-H61,IF(AND(E61&lt;&gt;"Completed",TODAY()&gt;H61),TODAY()-H61,0)))</f>
        <v>0</v>
      </c>
      <c r="L61" s="46" t="str">
        <f aca="false">IF(E61="Cancelled","Gray",IF(E61="On Hold","Red",IF(E61="Completed",IF(K61&gt;5,"Red",IF(K61&gt;0,"Amber","Green")),IF(K61&gt;5,"Red",IF(K61&gt;0,"Amber","Green")))))</f>
        <v>Green</v>
      </c>
      <c r="M61" s="50" t="s">
        <v>91</v>
      </c>
      <c r="N61" s="50"/>
      <c r="O61" s="34" t="str">
        <f aca="false">$O$58</f>
        <v>RPA-009</v>
      </c>
      <c r="P61" s="34"/>
      <c r="Q61" s="51"/>
      <c r="R61" s="34" t="s">
        <v>87</v>
      </c>
      <c r="S61" s="50"/>
      <c r="T61" s="50"/>
      <c r="U61" s="51" t="str">
        <f aca="false">$U$58</f>
        <v>Medium</v>
      </c>
      <c r="V61" s="51" t="str">
        <f aca="false">IF($V$58="","",$V$58)</f>
        <v/>
      </c>
      <c r="W61" s="34" t="str">
        <f aca="false">IF($W$58="","",$W$58)</f>
        <v/>
      </c>
      <c r="X61" s="52" t="n">
        <v>46233.4534722222</v>
      </c>
      <c r="Y61" s="51" t="str">
        <f aca="false">IF($Y$58="","",$Y$58)</f>
        <v>Project Manager</v>
      </c>
    </row>
    <row r="62" customFormat="false" ht="15.75" hidden="false" customHeight="true" outlineLevel="0" collapsed="false">
      <c r="A62" s="46"/>
      <c r="B62" s="46" t="s">
        <v>28</v>
      </c>
      <c r="C62" s="46" t="str">
        <f aca="false">C58</f>
        <v>HIGH</v>
      </c>
      <c r="D62" s="46" t="str">
        <f aca="false">D58</f>
        <v>Developer 2</v>
      </c>
      <c r="E62" s="34" t="s">
        <v>9</v>
      </c>
      <c r="F62" s="47" t="n">
        <f aca="false">IF(E62="Completed",100%,IF(OR(E62="In Progress",E62="On Hold"),50%,0%))</f>
        <v>0</v>
      </c>
      <c r="G62" s="48" t="n">
        <f aca="false">H61+1+2*INT((WEEKDAY(H61,1)-1+1)/5)</f>
        <v>46274</v>
      </c>
      <c r="H62" s="48" t="n">
        <f aca="false">G62+(IF(C62="LOW",Settings!$B$8,IF(C62="MEDIUM",Settings!$B$9,Settings!$B$10)))-1+2*INT((WEEKDAY(G62,1)-1+(IF(C62="LOW",Settings!$B$8,IF(C62="MEDIUM",Settings!$B$9,Settings!$B$10)))-1)/5)</f>
        <v>46301</v>
      </c>
      <c r="I62" s="49"/>
      <c r="J62" s="49"/>
      <c r="K62" s="46" t="n">
        <f aca="true">IF(E62="Cancelled","",IF(J62&lt;&gt;"",J62-H62,IF(AND(E62&lt;&gt;"Completed",TODAY()&gt;H62),TODAY()-H62,0)))</f>
        <v>0</v>
      </c>
      <c r="L62" s="46" t="str">
        <f aca="false">IF(E62="Cancelled","Gray",IF(E62="On Hold","Red",IF(E62="Completed",IF(K62&gt;5,"Red",IF(K62&gt;0,"Amber","Green")),IF(K62&gt;5,"Red",IF(K62&gt;0,"Amber","Green")))))</f>
        <v>Green</v>
      </c>
      <c r="M62" s="50" t="s">
        <v>92</v>
      </c>
      <c r="N62" s="50"/>
      <c r="O62" s="34" t="str">
        <f aca="false">$O$58</f>
        <v>RPA-009</v>
      </c>
      <c r="P62" s="34"/>
      <c r="Q62" s="51"/>
      <c r="R62" s="34" t="s">
        <v>87</v>
      </c>
      <c r="S62" s="50"/>
      <c r="T62" s="50"/>
      <c r="U62" s="51" t="str">
        <f aca="false">$U$58</f>
        <v>Medium</v>
      </c>
      <c r="V62" s="51" t="str">
        <f aca="false">IF($V$58="","",$V$58)</f>
        <v/>
      </c>
      <c r="W62" s="34" t="str">
        <f aca="false">IF($W$58="","",$W$58)</f>
        <v/>
      </c>
      <c r="X62" s="52" t="n">
        <v>46233.4534722222</v>
      </c>
      <c r="Y62" s="51" t="str">
        <f aca="false">IF($Y$58="","",$Y$58)</f>
        <v>Project Manager</v>
      </c>
    </row>
    <row r="63" customFormat="false" ht="15.75" hidden="false" customHeight="true" outlineLevel="0" collapsed="false">
      <c r="A63" s="46"/>
      <c r="B63" s="46" t="s">
        <v>30</v>
      </c>
      <c r="C63" s="46" t="str">
        <f aca="false">C58</f>
        <v>HIGH</v>
      </c>
      <c r="D63" s="46" t="str">
        <f aca="false">D58</f>
        <v>Developer 2</v>
      </c>
      <c r="E63" s="34" t="s">
        <v>9</v>
      </c>
      <c r="F63" s="47" t="n">
        <f aca="false">IF(E63="Completed",100%,IF(OR(E63="In Progress",E63="On Hold"),50%,0%))</f>
        <v>0</v>
      </c>
      <c r="G63" s="48" t="n">
        <f aca="false">H62+1+2*INT((WEEKDAY(H62,1)-1+1)/5)</f>
        <v>46302</v>
      </c>
      <c r="H63" s="48" t="n">
        <f aca="false">G63+(Settings!$B$11)-1+2*INT((WEEKDAY(G63,1)-1+(Settings!$B$11)-1)/5)</f>
        <v>46303</v>
      </c>
      <c r="I63" s="49"/>
      <c r="J63" s="49"/>
      <c r="K63" s="46" t="n">
        <f aca="true">IF(E63="Cancelled","",IF(J63&lt;&gt;"",J63-H63,IF(AND(E63&lt;&gt;"Completed",TODAY()&gt;H63),TODAY()-H63,0)))</f>
        <v>0</v>
      </c>
      <c r="L63" s="46" t="str">
        <f aca="false">IF(E63="Cancelled","Gray",IF(E63="On Hold","Red",IF(E63="Completed",IF(K63&gt;5,"Red",IF(K63&gt;0,"Amber","Green")),IF(K63&gt;5,"Red",IF(K63&gt;0,"Amber","Green")))))</f>
        <v>Green</v>
      </c>
      <c r="M63" s="50" t="s">
        <v>93</v>
      </c>
      <c r="N63" s="50"/>
      <c r="O63" s="34" t="str">
        <f aca="false">$O$58</f>
        <v>RPA-009</v>
      </c>
      <c r="P63" s="34"/>
      <c r="Q63" s="51"/>
      <c r="R63" s="34" t="s">
        <v>87</v>
      </c>
      <c r="S63" s="50"/>
      <c r="T63" s="50"/>
      <c r="U63" s="51" t="str">
        <f aca="false">$U$58</f>
        <v>Medium</v>
      </c>
      <c r="V63" s="51" t="str">
        <f aca="false">IF($V$58="","",$V$58)</f>
        <v/>
      </c>
      <c r="W63" s="34" t="str">
        <f aca="false">IF($W$58="","",$W$58)</f>
        <v/>
      </c>
      <c r="X63" s="52" t="n">
        <v>46233.4534722222</v>
      </c>
      <c r="Y63" s="51" t="str">
        <f aca="false">IF($Y$58="","",$Y$58)</f>
        <v>Project Manager</v>
      </c>
    </row>
    <row r="64" customFormat="false" ht="15.75" hidden="false" customHeight="true" outlineLevel="0" collapsed="false">
      <c r="A64" s="46"/>
      <c r="B64" s="46" t="s">
        <v>31</v>
      </c>
      <c r="C64" s="46" t="str">
        <f aca="false">C58</f>
        <v>HIGH</v>
      </c>
      <c r="D64" s="46" t="str">
        <f aca="false">D58</f>
        <v>Developer 2</v>
      </c>
      <c r="E64" s="34" t="s">
        <v>9</v>
      </c>
      <c r="F64" s="47" t="n">
        <f aca="false">IF(E64="Completed",100%,IF(OR(E64="In Progress",E64="On Hold"),50%,0%))</f>
        <v>0</v>
      </c>
      <c r="G64" s="48" t="n">
        <f aca="false">H63+1+2*INT((WEEKDAY(H63,1)-1+1)/5)</f>
        <v>46306</v>
      </c>
      <c r="H64" s="48" t="n">
        <f aca="false">G64+(Settings!$B$12)-1+2*INT((WEEKDAY(G64,1)-1+(Settings!$B$12)-1)/5)</f>
        <v>46306</v>
      </c>
      <c r="I64" s="49"/>
      <c r="J64" s="49"/>
      <c r="K64" s="46" t="n">
        <f aca="true">IF(E64="Cancelled","",IF(J64&lt;&gt;"",J64-H64,IF(AND(E64&lt;&gt;"Completed",TODAY()&gt;H64),TODAY()-H64,0)))</f>
        <v>0</v>
      </c>
      <c r="L64" s="46" t="str">
        <f aca="false">IF(E64="Cancelled","Gray",IF(E64="On Hold","Red",IF(E64="Completed",IF(K64&gt;5,"Red",IF(K64&gt;0,"Amber","Green")),IF(K64&gt;5,"Red",IF(K64&gt;0,"Amber","Green")))))</f>
        <v>Green</v>
      </c>
      <c r="M64" s="50" t="s">
        <v>92</v>
      </c>
      <c r="N64" s="50"/>
      <c r="O64" s="34" t="str">
        <f aca="false">$O$58</f>
        <v>RPA-009</v>
      </c>
      <c r="P64" s="34"/>
      <c r="Q64" s="51"/>
      <c r="R64" s="34" t="s">
        <v>87</v>
      </c>
      <c r="S64" s="50"/>
      <c r="T64" s="50"/>
      <c r="U64" s="51" t="str">
        <f aca="false">$U$58</f>
        <v>Medium</v>
      </c>
      <c r="V64" s="51" t="str">
        <f aca="false">IF($V$58="","",$V$58)</f>
        <v/>
      </c>
      <c r="W64" s="34" t="str">
        <f aca="false">IF($W$58="","",$W$58)</f>
        <v/>
      </c>
      <c r="X64" s="52" t="n">
        <v>46233.4534722222</v>
      </c>
      <c r="Y64" s="51" t="str">
        <f aca="false">IF($Y$58="","",$Y$58)</f>
        <v>Project Manager</v>
      </c>
    </row>
    <row r="65" customFormat="false" ht="15" hidden="false" customHeight="false" outlineLevel="0" collapsed="false">
      <c r="A65" s="41" t="s">
        <v>84</v>
      </c>
      <c r="B65" s="41" t="s">
        <v>85</v>
      </c>
      <c r="C65" s="41" t="str">
        <f aca="false">'Process Summary'!B13</f>
        <v>MEDIUM</v>
      </c>
      <c r="D65" s="41" t="str">
        <f aca="false">'Process Summary'!C13</f>
        <v>Developer 1</v>
      </c>
      <c r="E65" s="41" t="str">
        <f aca="false">IF(F65=100%,"Completed",IF(E66="On Hold","On Hold",IF(E67="On Hold","On Hold",IF(E68="On Hold","On Hold",IF(E69="On Hold","On Hold",IF(E70="On Hold","On Hold",IF(E71="On Hold","On Hold",IF(F65&gt;0%,"In Progress","Not Started"))))))))</f>
        <v>Not Started</v>
      </c>
      <c r="F65" s="42" t="n">
        <f aca="false">(F66*3+F67*5+F68+F69*IF(C65="LOW",13,IF(C65="MEDIUM",23,33))+F70*2+F71)/(12+IF(C65="LOW",13,IF(C65="MEDIUM",23,33)))</f>
        <v>0</v>
      </c>
      <c r="G65" s="43" t="n">
        <f aca="false">'Process Summary'!G13</f>
        <v>46268</v>
      </c>
      <c r="H65" s="43" t="n">
        <f aca="false">H71</f>
        <v>46306</v>
      </c>
      <c r="I65" s="43" t="str">
        <f aca="false">IF(COUNT(I66:I71)=0,"",MIN(I66:I71))</f>
        <v/>
      </c>
      <c r="J65" s="43" t="str">
        <f aca="false">IF(COUNT(J66:J71)=0,"",MAX(J66:J71))</f>
        <v/>
      </c>
      <c r="K65" s="41" t="n">
        <f aca="true">IF(E65="Cancelled","",IF(J65&lt;&gt;"",J65-H65,IF(AND(E65&lt;&gt;"Completed",TODAY()&gt;H65),TODAY()-H65,0)))</f>
        <v>0</v>
      </c>
      <c r="L65" s="41" t="str">
        <f aca="false">IF(E65="Cancelled","Gray",IF(E65="On Hold","Red",IF(E65="Completed",IF(K65&gt;5,"Red",IF(K65&gt;0,"Amber","Green")),IF(K65&gt;5,"Red",IF(K65&gt;0,"Amber","Green")))))</f>
        <v>Green</v>
      </c>
      <c r="M65" s="44"/>
      <c r="N65" s="44"/>
      <c r="O65" s="41" t="s">
        <v>103</v>
      </c>
      <c r="P65" s="41"/>
      <c r="Q65" s="41"/>
      <c r="R65" s="41" t="s">
        <v>87</v>
      </c>
      <c r="S65" s="44"/>
      <c r="T65" s="44"/>
      <c r="U65" s="41" t="s">
        <v>88</v>
      </c>
      <c r="V65" s="41"/>
      <c r="W65" s="41"/>
      <c r="X65" s="45" t="n">
        <v>46233.4534722222</v>
      </c>
      <c r="Y65" s="41" t="s">
        <v>89</v>
      </c>
    </row>
    <row r="66" customFormat="false" ht="15.75" hidden="false" customHeight="true" outlineLevel="0" collapsed="false">
      <c r="A66" s="51"/>
      <c r="B66" s="51" t="s">
        <v>22</v>
      </c>
      <c r="C66" s="51" t="str">
        <f aca="false">C65</f>
        <v>MEDIUM</v>
      </c>
      <c r="D66" s="51" t="str">
        <f aca="false">D65</f>
        <v>Developer 1</v>
      </c>
      <c r="E66" s="34" t="s">
        <v>9</v>
      </c>
      <c r="F66" s="53" t="n">
        <f aca="false">IF(E66="Completed",100%,IF(OR(E66="In Progress",E66="On Hold"),50%,0%))</f>
        <v>0</v>
      </c>
      <c r="G66" s="49" t="n">
        <f aca="false">G65</f>
        <v>46268</v>
      </c>
      <c r="H66" s="49" t="n">
        <f aca="false">G66+(Settings!$B$5)-1+2*INT((WEEKDAY(G66,1)-1+(Settings!$B$5)-1)/5)</f>
        <v>46272</v>
      </c>
      <c r="I66" s="49"/>
      <c r="J66" s="49"/>
      <c r="K66" s="51" t="n">
        <f aca="true">IF(E66="Cancelled","",IF(J66&lt;&gt;"",J66-H66,IF(AND(E66&lt;&gt;"Completed",TODAY()&gt;H66),TODAY()-H66,0)))</f>
        <v>0</v>
      </c>
      <c r="L66" s="51" t="str">
        <f aca="false">IF(E66="Cancelled","Gray",IF(E66="On Hold","Red",IF(E66="Completed",IF(K66&gt;5,"Red",IF(K66&gt;0,"Amber","Green")),IF(K66&gt;5,"Red",IF(K66&gt;0,"Amber","Green")))))</f>
        <v>Green</v>
      </c>
      <c r="M66" s="50" t="s">
        <v>90</v>
      </c>
      <c r="N66" s="50"/>
      <c r="O66" s="34" t="str">
        <f aca="false">$O$65</f>
        <v>RPA-010</v>
      </c>
      <c r="P66" s="34"/>
      <c r="Q66" s="51"/>
      <c r="R66" s="34" t="s">
        <v>87</v>
      </c>
      <c r="S66" s="50"/>
      <c r="T66" s="50"/>
      <c r="U66" s="51" t="str">
        <f aca="false">$U$65</f>
        <v>Medium</v>
      </c>
      <c r="V66" s="51" t="str">
        <f aca="false">IF($V$65="","",$V$65)</f>
        <v/>
      </c>
      <c r="W66" s="34" t="str">
        <f aca="false">IF($W$65="","",$W$65)</f>
        <v/>
      </c>
      <c r="X66" s="52" t="n">
        <v>46233.4534722222</v>
      </c>
      <c r="Y66" s="51" t="str">
        <f aca="false">IF($Y$65="","",$Y$65)</f>
        <v>Project Manager</v>
      </c>
    </row>
    <row r="67" customFormat="false" ht="15.75" hidden="false" customHeight="true" outlineLevel="0" collapsed="false">
      <c r="A67" s="51"/>
      <c r="B67" s="51" t="s">
        <v>24</v>
      </c>
      <c r="C67" s="51" t="str">
        <f aca="false">C65</f>
        <v>MEDIUM</v>
      </c>
      <c r="D67" s="51" t="str">
        <f aca="false">D65</f>
        <v>Developer 1</v>
      </c>
      <c r="E67" s="34" t="s">
        <v>9</v>
      </c>
      <c r="F67" s="53" t="n">
        <f aca="false">IF(E67="Completed",100%,IF(OR(E67="In Progress",E67="On Hold"),50%,0%))</f>
        <v>0</v>
      </c>
      <c r="G67" s="49" t="n">
        <f aca="false">H66+1+2*INT((WEEKDAY(H66,1)-1+1)/5)</f>
        <v>46273</v>
      </c>
      <c r="H67" s="49" t="n">
        <f aca="false">G67+(Settings!$B$6)-1+2*INT((WEEKDAY(G67,1)-1+(Settings!$B$6)-1)/5)</f>
        <v>46279</v>
      </c>
      <c r="I67" s="49"/>
      <c r="J67" s="49"/>
      <c r="K67" s="51" t="n">
        <f aca="true">IF(E67="Cancelled","",IF(J67&lt;&gt;"",J67-H67,IF(AND(E67&lt;&gt;"Completed",TODAY()&gt;H67),TODAY()-H67,0)))</f>
        <v>0</v>
      </c>
      <c r="L67" s="51" t="str">
        <f aca="false">IF(E67="Cancelled","Gray",IF(E67="On Hold","Red",IF(E67="Completed",IF(K67&gt;5,"Red",IF(K67&gt;0,"Amber","Green")),IF(K67&gt;5,"Red",IF(K67&gt;0,"Amber","Green")))))</f>
        <v>Green</v>
      </c>
      <c r="M67" s="50" t="s">
        <v>90</v>
      </c>
      <c r="N67" s="50"/>
      <c r="O67" s="34" t="str">
        <f aca="false">$O$65</f>
        <v>RPA-010</v>
      </c>
      <c r="P67" s="34"/>
      <c r="Q67" s="51"/>
      <c r="R67" s="34" t="s">
        <v>87</v>
      </c>
      <c r="S67" s="50"/>
      <c r="T67" s="50"/>
      <c r="U67" s="51" t="str">
        <f aca="false">$U$65</f>
        <v>Medium</v>
      </c>
      <c r="V67" s="51" t="str">
        <f aca="false">IF($V$65="","",$V$65)</f>
        <v/>
      </c>
      <c r="W67" s="34" t="str">
        <f aca="false">IF($W$65="","",$W$65)</f>
        <v/>
      </c>
      <c r="X67" s="52" t="n">
        <v>46233.4534722222</v>
      </c>
      <c r="Y67" s="51" t="str">
        <f aca="false">IF($Y$65="","",$Y$65)</f>
        <v>Project Manager</v>
      </c>
    </row>
    <row r="68" customFormat="false" ht="15.75" hidden="false" customHeight="true" outlineLevel="0" collapsed="false">
      <c r="A68" s="51"/>
      <c r="B68" s="51" t="s">
        <v>26</v>
      </c>
      <c r="C68" s="51" t="str">
        <f aca="false">C65</f>
        <v>MEDIUM</v>
      </c>
      <c r="D68" s="51" t="str">
        <f aca="false">D65</f>
        <v>Developer 1</v>
      </c>
      <c r="E68" s="34" t="s">
        <v>9</v>
      </c>
      <c r="F68" s="53" t="n">
        <f aca="false">IF(E68="Completed",100%,IF(OR(E68="In Progress",E68="On Hold"),50%,0%))</f>
        <v>0</v>
      </c>
      <c r="G68" s="49" t="n">
        <f aca="false">H67+1+2*INT((WEEKDAY(H67,1)-1+1)/5)</f>
        <v>46280</v>
      </c>
      <c r="H68" s="49" t="n">
        <f aca="false">G68+(Settings!$B$7)-1+2*INT((WEEKDAY(G68,1)-1+(Settings!$B$7)-1)/5)</f>
        <v>46280</v>
      </c>
      <c r="I68" s="49"/>
      <c r="J68" s="49"/>
      <c r="K68" s="51" t="n">
        <f aca="true">IF(E68="Cancelled","",IF(J68&lt;&gt;"",J68-H68,IF(AND(E68&lt;&gt;"Completed",TODAY()&gt;H68),TODAY()-H68,0)))</f>
        <v>0</v>
      </c>
      <c r="L68" s="51" t="str">
        <f aca="false">IF(E68="Cancelled","Gray",IF(E68="On Hold","Red",IF(E68="Completed",IF(K68&gt;5,"Red",IF(K68&gt;0,"Amber","Green")),IF(K68&gt;5,"Red",IF(K68&gt;0,"Amber","Green")))))</f>
        <v>Green</v>
      </c>
      <c r="M68" s="50" t="s">
        <v>91</v>
      </c>
      <c r="N68" s="50"/>
      <c r="O68" s="34" t="str">
        <f aca="false">$O$65</f>
        <v>RPA-010</v>
      </c>
      <c r="P68" s="34"/>
      <c r="Q68" s="51"/>
      <c r="R68" s="34" t="s">
        <v>87</v>
      </c>
      <c r="S68" s="50"/>
      <c r="T68" s="50"/>
      <c r="U68" s="51" t="str">
        <f aca="false">$U$65</f>
        <v>Medium</v>
      </c>
      <c r="V68" s="51" t="str">
        <f aca="false">IF($V$65="","",$V$65)</f>
        <v/>
      </c>
      <c r="W68" s="34" t="str">
        <f aca="false">IF($W$65="","",$W$65)</f>
        <v/>
      </c>
      <c r="X68" s="52" t="n">
        <v>46233.4534722222</v>
      </c>
      <c r="Y68" s="51" t="str">
        <f aca="false">IF($Y$65="","",$Y$65)</f>
        <v>Project Manager</v>
      </c>
    </row>
    <row r="69" customFormat="false" ht="15.75" hidden="false" customHeight="true" outlineLevel="0" collapsed="false">
      <c r="A69" s="51"/>
      <c r="B69" s="51" t="s">
        <v>28</v>
      </c>
      <c r="C69" s="51" t="str">
        <f aca="false">C65</f>
        <v>MEDIUM</v>
      </c>
      <c r="D69" s="51" t="str">
        <f aca="false">D65</f>
        <v>Developer 1</v>
      </c>
      <c r="E69" s="34" t="s">
        <v>9</v>
      </c>
      <c r="F69" s="53" t="n">
        <f aca="false">IF(E69="Completed",100%,IF(OR(E69="In Progress",E69="On Hold"),50%,0%))</f>
        <v>0</v>
      </c>
      <c r="G69" s="49" t="n">
        <f aca="false">H68+1+2*INT((WEEKDAY(H68,1)-1+1)/5)</f>
        <v>46281</v>
      </c>
      <c r="H69" s="49" t="n">
        <f aca="false">G69+(IF(C69="LOW",Settings!$B$8,IF(C69="MEDIUM",Settings!$B$9,Settings!$B$10)))-1+2*INT((WEEKDAY(G69,1)-1+(IF(C69="LOW",Settings!$B$8,IF(C69="MEDIUM",Settings!$B$9,Settings!$B$10)))-1)/5)</f>
        <v>46301</v>
      </c>
      <c r="I69" s="49"/>
      <c r="J69" s="49"/>
      <c r="K69" s="51" t="n">
        <f aca="true">IF(E69="Cancelled","",IF(J69&lt;&gt;"",J69-H69,IF(AND(E69&lt;&gt;"Completed",TODAY()&gt;H69),TODAY()-H69,0)))</f>
        <v>0</v>
      </c>
      <c r="L69" s="51" t="str">
        <f aca="false">IF(E69="Cancelled","Gray",IF(E69="On Hold","Red",IF(E69="Completed",IF(K69&gt;5,"Red",IF(K69&gt;0,"Amber","Green")),IF(K69&gt;5,"Red",IF(K69&gt;0,"Amber","Green")))))</f>
        <v>Green</v>
      </c>
      <c r="M69" s="50" t="s">
        <v>92</v>
      </c>
      <c r="N69" s="50"/>
      <c r="O69" s="34" t="str">
        <f aca="false">$O$65</f>
        <v>RPA-010</v>
      </c>
      <c r="P69" s="34"/>
      <c r="Q69" s="51"/>
      <c r="R69" s="34" t="s">
        <v>87</v>
      </c>
      <c r="S69" s="50"/>
      <c r="T69" s="50"/>
      <c r="U69" s="51" t="str">
        <f aca="false">$U$65</f>
        <v>Medium</v>
      </c>
      <c r="V69" s="51" t="str">
        <f aca="false">IF($V$65="","",$V$65)</f>
        <v/>
      </c>
      <c r="W69" s="34" t="str">
        <f aca="false">IF($W$65="","",$W$65)</f>
        <v/>
      </c>
      <c r="X69" s="52" t="n">
        <v>46233.4534722222</v>
      </c>
      <c r="Y69" s="51" t="str">
        <f aca="false">IF($Y$65="","",$Y$65)</f>
        <v>Project Manager</v>
      </c>
    </row>
    <row r="70" customFormat="false" ht="15.75" hidden="false" customHeight="true" outlineLevel="0" collapsed="false">
      <c r="A70" s="51"/>
      <c r="B70" s="51" t="s">
        <v>30</v>
      </c>
      <c r="C70" s="51" t="str">
        <f aca="false">C65</f>
        <v>MEDIUM</v>
      </c>
      <c r="D70" s="51" t="str">
        <f aca="false">D65</f>
        <v>Developer 1</v>
      </c>
      <c r="E70" s="34" t="s">
        <v>9</v>
      </c>
      <c r="F70" s="53" t="n">
        <f aca="false">IF(E70="Completed",100%,IF(OR(E70="In Progress",E70="On Hold"),50%,0%))</f>
        <v>0</v>
      </c>
      <c r="G70" s="49" t="n">
        <f aca="false">H69+1+2*INT((WEEKDAY(H69,1)-1+1)/5)</f>
        <v>46302</v>
      </c>
      <c r="H70" s="49" t="n">
        <f aca="false">G70+(Settings!$B$11)-1+2*INT((WEEKDAY(G70,1)-1+(Settings!$B$11)-1)/5)</f>
        <v>46303</v>
      </c>
      <c r="I70" s="49"/>
      <c r="J70" s="49"/>
      <c r="K70" s="51" t="n">
        <f aca="true">IF(E70="Cancelled","",IF(J70&lt;&gt;"",J70-H70,IF(AND(E70&lt;&gt;"Completed",TODAY()&gt;H70),TODAY()-H70,0)))</f>
        <v>0</v>
      </c>
      <c r="L70" s="51" t="str">
        <f aca="false">IF(E70="Cancelled","Gray",IF(E70="On Hold","Red",IF(E70="Completed",IF(K70&gt;5,"Red",IF(K70&gt;0,"Amber","Green")),IF(K70&gt;5,"Red",IF(K70&gt;0,"Amber","Green")))))</f>
        <v>Green</v>
      </c>
      <c r="M70" s="50" t="s">
        <v>93</v>
      </c>
      <c r="N70" s="50"/>
      <c r="O70" s="34" t="str">
        <f aca="false">$O$65</f>
        <v>RPA-010</v>
      </c>
      <c r="P70" s="34"/>
      <c r="Q70" s="51"/>
      <c r="R70" s="34" t="s">
        <v>87</v>
      </c>
      <c r="S70" s="50"/>
      <c r="T70" s="50"/>
      <c r="U70" s="51" t="str">
        <f aca="false">$U$65</f>
        <v>Medium</v>
      </c>
      <c r="V70" s="51" t="str">
        <f aca="false">IF($V$65="","",$V$65)</f>
        <v/>
      </c>
      <c r="W70" s="34" t="str">
        <f aca="false">IF($W$65="","",$W$65)</f>
        <v/>
      </c>
      <c r="X70" s="52" t="n">
        <v>46233.4534722222</v>
      </c>
      <c r="Y70" s="51" t="str">
        <f aca="false">IF($Y$65="","",$Y$65)</f>
        <v>Project Manager</v>
      </c>
    </row>
    <row r="71" customFormat="false" ht="15.75" hidden="false" customHeight="true" outlineLevel="0" collapsed="false">
      <c r="A71" s="51"/>
      <c r="B71" s="51" t="s">
        <v>31</v>
      </c>
      <c r="C71" s="51" t="str">
        <f aca="false">C65</f>
        <v>MEDIUM</v>
      </c>
      <c r="D71" s="51" t="str">
        <f aca="false">D65</f>
        <v>Developer 1</v>
      </c>
      <c r="E71" s="34" t="s">
        <v>9</v>
      </c>
      <c r="F71" s="53" t="n">
        <f aca="false">IF(E71="Completed",100%,IF(OR(E71="In Progress",E71="On Hold"),50%,0%))</f>
        <v>0</v>
      </c>
      <c r="G71" s="49" t="n">
        <f aca="false">H70+1+2*INT((WEEKDAY(H70,1)-1+1)/5)</f>
        <v>46306</v>
      </c>
      <c r="H71" s="49" t="n">
        <f aca="false">G71+(Settings!$B$12)-1+2*INT((WEEKDAY(G71,1)-1+(Settings!$B$12)-1)/5)</f>
        <v>46306</v>
      </c>
      <c r="I71" s="49"/>
      <c r="J71" s="49"/>
      <c r="K71" s="51" t="n">
        <f aca="true">IF(E71="Cancelled","",IF(J71&lt;&gt;"",J71-H71,IF(AND(E71&lt;&gt;"Completed",TODAY()&gt;H71),TODAY()-H71,0)))</f>
        <v>0</v>
      </c>
      <c r="L71" s="51" t="str">
        <f aca="false">IF(E71="Cancelled","Gray",IF(E71="On Hold","Red",IF(E71="Completed",IF(K71&gt;5,"Red",IF(K71&gt;0,"Amber","Green")),IF(K71&gt;5,"Red",IF(K71&gt;0,"Amber","Green")))))</f>
        <v>Green</v>
      </c>
      <c r="M71" s="50" t="s">
        <v>92</v>
      </c>
      <c r="N71" s="50"/>
      <c r="O71" s="34" t="str">
        <f aca="false">$O$65</f>
        <v>RPA-010</v>
      </c>
      <c r="P71" s="34"/>
      <c r="Q71" s="51"/>
      <c r="R71" s="34" t="s">
        <v>87</v>
      </c>
      <c r="S71" s="50"/>
      <c r="T71" s="50"/>
      <c r="U71" s="51" t="str">
        <f aca="false">$U$65</f>
        <v>Medium</v>
      </c>
      <c r="V71" s="51" t="str">
        <f aca="false">IF($V$65="","",$V$65)</f>
        <v/>
      </c>
      <c r="W71" s="34" t="str">
        <f aca="false">IF($W$65="","",$W$65)</f>
        <v/>
      </c>
      <c r="X71" s="52" t="n">
        <v>46233.4534722222</v>
      </c>
      <c r="Y71" s="51" t="str">
        <f aca="false">IF($Y$65="","",$Y$65)</f>
        <v>Project Manager</v>
      </c>
    </row>
    <row r="72" customFormat="false" ht="15" hidden="false" customHeight="false" outlineLevel="0" collapsed="false">
      <c r="A72" s="41" t="s">
        <v>84</v>
      </c>
      <c r="B72" s="41" t="s">
        <v>85</v>
      </c>
      <c r="C72" s="41" t="str">
        <f aca="false">'Process Summary'!B14</f>
        <v>MEDIUM</v>
      </c>
      <c r="D72" s="41" t="str">
        <f aca="false">'Process Summary'!C14</f>
        <v>Developer 3</v>
      </c>
      <c r="E72" s="41" t="str">
        <f aca="false">IF(F72=100%,"Completed",IF(E73="On Hold","On Hold",IF(E74="On Hold","On Hold",IF(E75="On Hold","On Hold",IF(E76="On Hold","On Hold",IF(E77="On Hold","On Hold",IF(E78="On Hold","On Hold",IF(F72&gt;0%,"In Progress","Not Started"))))))))</f>
        <v>Not Started</v>
      </c>
      <c r="F72" s="42" t="n">
        <f aca="false">(F73*3+F74*5+F75+F76*IF(C72="LOW",13,IF(C72="MEDIUM",23,33))+F77*2+F78)/(12+IF(C72="LOW",13,IF(C72="MEDIUM",23,33)))</f>
        <v>0</v>
      </c>
      <c r="G72" s="43" t="n">
        <f aca="false">'Process Summary'!G14</f>
        <v>46268</v>
      </c>
      <c r="H72" s="43" t="n">
        <f aca="false">H78</f>
        <v>46306</v>
      </c>
      <c r="I72" s="43" t="str">
        <f aca="false">IF(COUNT(I73:I78)=0,"",MIN(I73:I78))</f>
        <v/>
      </c>
      <c r="J72" s="43" t="str">
        <f aca="false">IF(COUNT(J73:J78)=0,"",MAX(J73:J78))</f>
        <v/>
      </c>
      <c r="K72" s="41" t="n">
        <f aca="true">IF(E72="Cancelled","",IF(J72&lt;&gt;"",J72-H72,IF(AND(E72&lt;&gt;"Completed",TODAY()&gt;H72),TODAY()-H72,0)))</f>
        <v>0</v>
      </c>
      <c r="L72" s="41" t="str">
        <f aca="false">IF(E72="Cancelled","Gray",IF(E72="On Hold","Red",IF(E72="Completed",IF(K72&gt;5,"Red",IF(K72&gt;0,"Amber","Green")),IF(K72&gt;5,"Red",IF(K72&gt;0,"Amber","Green")))))</f>
        <v>Green</v>
      </c>
      <c r="M72" s="44"/>
      <c r="N72" s="44"/>
      <c r="O72" s="41" t="s">
        <v>104</v>
      </c>
      <c r="P72" s="41"/>
      <c r="Q72" s="41"/>
      <c r="R72" s="41" t="s">
        <v>87</v>
      </c>
      <c r="S72" s="44"/>
      <c r="T72" s="44"/>
      <c r="U72" s="41" t="s">
        <v>88</v>
      </c>
      <c r="V72" s="41"/>
      <c r="W72" s="41"/>
      <c r="X72" s="45" t="n">
        <v>46233.4534722222</v>
      </c>
      <c r="Y72" s="41" t="s">
        <v>89</v>
      </c>
    </row>
    <row r="73" customFormat="false" ht="15.75" hidden="false" customHeight="true" outlineLevel="0" collapsed="false">
      <c r="A73" s="46"/>
      <c r="B73" s="46" t="s">
        <v>22</v>
      </c>
      <c r="C73" s="46" t="str">
        <f aca="false">C72</f>
        <v>MEDIUM</v>
      </c>
      <c r="D73" s="46" t="str">
        <f aca="false">D72</f>
        <v>Developer 3</v>
      </c>
      <c r="E73" s="34" t="s">
        <v>9</v>
      </c>
      <c r="F73" s="47" t="n">
        <f aca="false">IF(E73="Completed",100%,IF(OR(E73="In Progress",E73="On Hold"),50%,0%))</f>
        <v>0</v>
      </c>
      <c r="G73" s="48" t="n">
        <f aca="false">G72</f>
        <v>46268</v>
      </c>
      <c r="H73" s="48" t="n">
        <f aca="false">G73+(Settings!$B$5)-1+2*INT((WEEKDAY(G73,1)-1+(Settings!$B$5)-1)/5)</f>
        <v>46272</v>
      </c>
      <c r="I73" s="49"/>
      <c r="J73" s="49"/>
      <c r="K73" s="46" t="n">
        <f aca="true">IF(E73="Cancelled","",IF(J73&lt;&gt;"",J73-H73,IF(AND(E73&lt;&gt;"Completed",TODAY()&gt;H73),TODAY()-H73,0)))</f>
        <v>0</v>
      </c>
      <c r="L73" s="46" t="str">
        <f aca="false">IF(E73="Cancelled","Gray",IF(E73="On Hold","Red",IF(E73="Completed",IF(K73&gt;5,"Red",IF(K73&gt;0,"Amber","Green")),IF(K73&gt;5,"Red",IF(K73&gt;0,"Amber","Green")))))</f>
        <v>Green</v>
      </c>
      <c r="M73" s="50" t="s">
        <v>90</v>
      </c>
      <c r="N73" s="50"/>
      <c r="O73" s="34" t="str">
        <f aca="false">$O$72</f>
        <v>RPA-011</v>
      </c>
      <c r="P73" s="34"/>
      <c r="Q73" s="51"/>
      <c r="R73" s="34" t="s">
        <v>87</v>
      </c>
      <c r="S73" s="50"/>
      <c r="T73" s="50"/>
      <c r="U73" s="51" t="str">
        <f aca="false">$U$72</f>
        <v>Medium</v>
      </c>
      <c r="V73" s="51" t="str">
        <f aca="false">IF($V$72="","",$V$72)</f>
        <v/>
      </c>
      <c r="W73" s="34" t="str">
        <f aca="false">IF($W$72="","",$W$72)</f>
        <v/>
      </c>
      <c r="X73" s="52" t="n">
        <v>46233.4534722222</v>
      </c>
      <c r="Y73" s="51" t="str">
        <f aca="false">IF($Y$72="","",$Y$72)</f>
        <v>Project Manager</v>
      </c>
    </row>
    <row r="74" customFormat="false" ht="15.75" hidden="false" customHeight="true" outlineLevel="0" collapsed="false">
      <c r="A74" s="46"/>
      <c r="B74" s="46" t="s">
        <v>24</v>
      </c>
      <c r="C74" s="46" t="str">
        <f aca="false">C72</f>
        <v>MEDIUM</v>
      </c>
      <c r="D74" s="46" t="str">
        <f aca="false">D72</f>
        <v>Developer 3</v>
      </c>
      <c r="E74" s="34" t="s">
        <v>9</v>
      </c>
      <c r="F74" s="47" t="n">
        <f aca="false">IF(E74="Completed",100%,IF(OR(E74="In Progress",E74="On Hold"),50%,0%))</f>
        <v>0</v>
      </c>
      <c r="G74" s="48" t="n">
        <f aca="false">H73+1+2*INT((WEEKDAY(H73,1)-1+1)/5)</f>
        <v>46273</v>
      </c>
      <c r="H74" s="48" t="n">
        <f aca="false">G74+(Settings!$B$6)-1+2*INT((WEEKDAY(G74,1)-1+(Settings!$B$6)-1)/5)</f>
        <v>46279</v>
      </c>
      <c r="I74" s="49"/>
      <c r="J74" s="49"/>
      <c r="K74" s="46" t="n">
        <f aca="true">IF(E74="Cancelled","",IF(J74&lt;&gt;"",J74-H74,IF(AND(E74&lt;&gt;"Completed",TODAY()&gt;H74),TODAY()-H74,0)))</f>
        <v>0</v>
      </c>
      <c r="L74" s="46" t="str">
        <f aca="false">IF(E74="Cancelled","Gray",IF(E74="On Hold","Red",IF(E74="Completed",IF(K74&gt;5,"Red",IF(K74&gt;0,"Amber","Green")),IF(K74&gt;5,"Red",IF(K74&gt;0,"Amber","Green")))))</f>
        <v>Green</v>
      </c>
      <c r="M74" s="50" t="s">
        <v>90</v>
      </c>
      <c r="N74" s="50"/>
      <c r="O74" s="34" t="str">
        <f aca="false">$O$72</f>
        <v>RPA-011</v>
      </c>
      <c r="P74" s="34"/>
      <c r="Q74" s="51"/>
      <c r="R74" s="34" t="s">
        <v>87</v>
      </c>
      <c r="S74" s="50"/>
      <c r="T74" s="50"/>
      <c r="U74" s="51" t="str">
        <f aca="false">$U$72</f>
        <v>Medium</v>
      </c>
      <c r="V74" s="51" t="str">
        <f aca="false">IF($V$72="","",$V$72)</f>
        <v/>
      </c>
      <c r="W74" s="34" t="str">
        <f aca="false">IF($W$72="","",$W$72)</f>
        <v/>
      </c>
      <c r="X74" s="52" t="n">
        <v>46233.4534722222</v>
      </c>
      <c r="Y74" s="51" t="str">
        <f aca="false">IF($Y$72="","",$Y$72)</f>
        <v>Project Manager</v>
      </c>
    </row>
    <row r="75" customFormat="false" ht="15.75" hidden="false" customHeight="true" outlineLevel="0" collapsed="false">
      <c r="A75" s="46"/>
      <c r="B75" s="46" t="s">
        <v>26</v>
      </c>
      <c r="C75" s="46" t="str">
        <f aca="false">C72</f>
        <v>MEDIUM</v>
      </c>
      <c r="D75" s="46" t="str">
        <f aca="false">D72</f>
        <v>Developer 3</v>
      </c>
      <c r="E75" s="34" t="s">
        <v>9</v>
      </c>
      <c r="F75" s="47" t="n">
        <f aca="false">IF(E75="Completed",100%,IF(OR(E75="In Progress",E75="On Hold"),50%,0%))</f>
        <v>0</v>
      </c>
      <c r="G75" s="48" t="n">
        <f aca="false">H74+1+2*INT((WEEKDAY(H74,1)-1+1)/5)</f>
        <v>46280</v>
      </c>
      <c r="H75" s="48" t="n">
        <f aca="false">G75+(Settings!$B$7)-1+2*INT((WEEKDAY(G75,1)-1+(Settings!$B$7)-1)/5)</f>
        <v>46280</v>
      </c>
      <c r="I75" s="49"/>
      <c r="J75" s="49"/>
      <c r="K75" s="46" t="n">
        <f aca="true">IF(E75="Cancelled","",IF(J75&lt;&gt;"",J75-H75,IF(AND(E75&lt;&gt;"Completed",TODAY()&gt;H75),TODAY()-H75,0)))</f>
        <v>0</v>
      </c>
      <c r="L75" s="46" t="str">
        <f aca="false">IF(E75="Cancelled","Gray",IF(E75="On Hold","Red",IF(E75="Completed",IF(K75&gt;5,"Red",IF(K75&gt;0,"Amber","Green")),IF(K75&gt;5,"Red",IF(K75&gt;0,"Amber","Green")))))</f>
        <v>Green</v>
      </c>
      <c r="M75" s="50" t="s">
        <v>91</v>
      </c>
      <c r="N75" s="50"/>
      <c r="O75" s="34" t="str">
        <f aca="false">$O$72</f>
        <v>RPA-011</v>
      </c>
      <c r="P75" s="34"/>
      <c r="Q75" s="51"/>
      <c r="R75" s="34" t="s">
        <v>87</v>
      </c>
      <c r="S75" s="50"/>
      <c r="T75" s="50"/>
      <c r="U75" s="51" t="str">
        <f aca="false">$U$72</f>
        <v>Medium</v>
      </c>
      <c r="V75" s="51" t="str">
        <f aca="false">IF($V$72="","",$V$72)</f>
        <v/>
      </c>
      <c r="W75" s="34" t="str">
        <f aca="false">IF($W$72="","",$W$72)</f>
        <v/>
      </c>
      <c r="X75" s="52" t="n">
        <v>46233.4534722222</v>
      </c>
      <c r="Y75" s="51" t="str">
        <f aca="false">IF($Y$72="","",$Y$72)</f>
        <v>Project Manager</v>
      </c>
    </row>
    <row r="76" customFormat="false" ht="15.75" hidden="false" customHeight="true" outlineLevel="0" collapsed="false">
      <c r="A76" s="46"/>
      <c r="B76" s="46" t="s">
        <v>28</v>
      </c>
      <c r="C76" s="46" t="str">
        <f aca="false">C72</f>
        <v>MEDIUM</v>
      </c>
      <c r="D76" s="46" t="str">
        <f aca="false">D72</f>
        <v>Developer 3</v>
      </c>
      <c r="E76" s="34" t="s">
        <v>9</v>
      </c>
      <c r="F76" s="47" t="n">
        <f aca="false">IF(E76="Completed",100%,IF(OR(E76="In Progress",E76="On Hold"),50%,0%))</f>
        <v>0</v>
      </c>
      <c r="G76" s="48" t="n">
        <f aca="false">H75+1+2*INT((WEEKDAY(H75,1)-1+1)/5)</f>
        <v>46281</v>
      </c>
      <c r="H76" s="48" t="n">
        <f aca="false">G76+(IF(C76="LOW",Settings!$B$8,IF(C76="MEDIUM",Settings!$B$9,Settings!$B$10)))-1+2*INT((WEEKDAY(G76,1)-1+(IF(C76="LOW",Settings!$B$8,IF(C76="MEDIUM",Settings!$B$9,Settings!$B$10)))-1)/5)</f>
        <v>46301</v>
      </c>
      <c r="I76" s="49"/>
      <c r="J76" s="49"/>
      <c r="K76" s="46" t="n">
        <f aca="true">IF(E76="Cancelled","",IF(J76&lt;&gt;"",J76-H76,IF(AND(E76&lt;&gt;"Completed",TODAY()&gt;H76),TODAY()-H76,0)))</f>
        <v>0</v>
      </c>
      <c r="L76" s="46" t="str">
        <f aca="false">IF(E76="Cancelled","Gray",IF(E76="On Hold","Red",IF(E76="Completed",IF(K76&gt;5,"Red",IF(K76&gt;0,"Amber","Green")),IF(K76&gt;5,"Red",IF(K76&gt;0,"Amber","Green")))))</f>
        <v>Green</v>
      </c>
      <c r="M76" s="50" t="s">
        <v>92</v>
      </c>
      <c r="N76" s="50"/>
      <c r="O76" s="34" t="str">
        <f aca="false">$O$72</f>
        <v>RPA-011</v>
      </c>
      <c r="P76" s="34"/>
      <c r="Q76" s="51"/>
      <c r="R76" s="34" t="s">
        <v>87</v>
      </c>
      <c r="S76" s="50"/>
      <c r="T76" s="50"/>
      <c r="U76" s="51" t="str">
        <f aca="false">$U$72</f>
        <v>Medium</v>
      </c>
      <c r="V76" s="51" t="str">
        <f aca="false">IF($V$72="","",$V$72)</f>
        <v/>
      </c>
      <c r="W76" s="34" t="str">
        <f aca="false">IF($W$72="","",$W$72)</f>
        <v/>
      </c>
      <c r="X76" s="52" t="n">
        <v>46233.4534722222</v>
      </c>
      <c r="Y76" s="51" t="str">
        <f aca="false">IF($Y$72="","",$Y$72)</f>
        <v>Project Manager</v>
      </c>
    </row>
    <row r="77" customFormat="false" ht="15.75" hidden="false" customHeight="true" outlineLevel="0" collapsed="false">
      <c r="A77" s="46"/>
      <c r="B77" s="46" t="s">
        <v>30</v>
      </c>
      <c r="C77" s="46" t="str">
        <f aca="false">C72</f>
        <v>MEDIUM</v>
      </c>
      <c r="D77" s="46" t="str">
        <f aca="false">D72</f>
        <v>Developer 3</v>
      </c>
      <c r="E77" s="34" t="s">
        <v>9</v>
      </c>
      <c r="F77" s="47" t="n">
        <f aca="false">IF(E77="Completed",100%,IF(OR(E77="In Progress",E77="On Hold"),50%,0%))</f>
        <v>0</v>
      </c>
      <c r="G77" s="48" t="n">
        <f aca="false">H76+1+2*INT((WEEKDAY(H76,1)-1+1)/5)</f>
        <v>46302</v>
      </c>
      <c r="H77" s="48" t="n">
        <f aca="false">G77+(Settings!$B$11)-1+2*INT((WEEKDAY(G77,1)-1+(Settings!$B$11)-1)/5)</f>
        <v>46303</v>
      </c>
      <c r="I77" s="49"/>
      <c r="J77" s="49"/>
      <c r="K77" s="46" t="n">
        <f aca="true">IF(E77="Cancelled","",IF(J77&lt;&gt;"",J77-H77,IF(AND(E77&lt;&gt;"Completed",TODAY()&gt;H77),TODAY()-H77,0)))</f>
        <v>0</v>
      </c>
      <c r="L77" s="46" t="str">
        <f aca="false">IF(E77="Cancelled","Gray",IF(E77="On Hold","Red",IF(E77="Completed",IF(K77&gt;5,"Red",IF(K77&gt;0,"Amber","Green")),IF(K77&gt;5,"Red",IF(K77&gt;0,"Amber","Green")))))</f>
        <v>Green</v>
      </c>
      <c r="M77" s="50" t="s">
        <v>93</v>
      </c>
      <c r="N77" s="50"/>
      <c r="O77" s="34" t="str">
        <f aca="false">$O$72</f>
        <v>RPA-011</v>
      </c>
      <c r="P77" s="34"/>
      <c r="Q77" s="51"/>
      <c r="R77" s="34" t="s">
        <v>87</v>
      </c>
      <c r="S77" s="50"/>
      <c r="T77" s="50"/>
      <c r="U77" s="51" t="str">
        <f aca="false">$U$72</f>
        <v>Medium</v>
      </c>
      <c r="V77" s="51" t="str">
        <f aca="false">IF($V$72="","",$V$72)</f>
        <v/>
      </c>
      <c r="W77" s="34" t="str">
        <f aca="false">IF($W$72="","",$W$72)</f>
        <v/>
      </c>
      <c r="X77" s="52" t="n">
        <v>46233.4534722222</v>
      </c>
      <c r="Y77" s="51" t="str">
        <f aca="false">IF($Y$72="","",$Y$72)</f>
        <v>Project Manager</v>
      </c>
    </row>
    <row r="78" customFormat="false" ht="15.75" hidden="false" customHeight="true" outlineLevel="0" collapsed="false">
      <c r="A78" s="46"/>
      <c r="B78" s="46" t="s">
        <v>31</v>
      </c>
      <c r="C78" s="46" t="str">
        <f aca="false">C72</f>
        <v>MEDIUM</v>
      </c>
      <c r="D78" s="46" t="str">
        <f aca="false">D72</f>
        <v>Developer 3</v>
      </c>
      <c r="E78" s="34" t="s">
        <v>9</v>
      </c>
      <c r="F78" s="47" t="n">
        <f aca="false">IF(E78="Completed",100%,IF(OR(E78="In Progress",E78="On Hold"),50%,0%))</f>
        <v>0</v>
      </c>
      <c r="G78" s="48" t="n">
        <f aca="false">H77+1+2*INT((WEEKDAY(H77,1)-1+1)/5)</f>
        <v>46306</v>
      </c>
      <c r="H78" s="48" t="n">
        <f aca="false">G78+(Settings!$B$12)-1+2*INT((WEEKDAY(G78,1)-1+(Settings!$B$12)-1)/5)</f>
        <v>46306</v>
      </c>
      <c r="I78" s="49"/>
      <c r="J78" s="49"/>
      <c r="K78" s="46" t="n">
        <f aca="true">IF(E78="Cancelled","",IF(J78&lt;&gt;"",J78-H78,IF(AND(E78&lt;&gt;"Completed",TODAY()&gt;H78),TODAY()-H78,0)))</f>
        <v>0</v>
      </c>
      <c r="L78" s="46" t="str">
        <f aca="false">IF(E78="Cancelled","Gray",IF(E78="On Hold","Red",IF(E78="Completed",IF(K78&gt;5,"Red",IF(K78&gt;0,"Amber","Green")),IF(K78&gt;5,"Red",IF(K78&gt;0,"Amber","Green")))))</f>
        <v>Green</v>
      </c>
      <c r="M78" s="50" t="s">
        <v>92</v>
      </c>
      <c r="N78" s="50"/>
      <c r="O78" s="34" t="str">
        <f aca="false">$O$72</f>
        <v>RPA-011</v>
      </c>
      <c r="P78" s="34"/>
      <c r="Q78" s="51"/>
      <c r="R78" s="34" t="s">
        <v>87</v>
      </c>
      <c r="S78" s="50"/>
      <c r="T78" s="50"/>
      <c r="U78" s="51" t="str">
        <f aca="false">$U$72</f>
        <v>Medium</v>
      </c>
      <c r="V78" s="51" t="str">
        <f aca="false">IF($V$72="","",$V$72)</f>
        <v/>
      </c>
      <c r="W78" s="34" t="str">
        <f aca="false">IF($W$72="","",$W$72)</f>
        <v/>
      </c>
      <c r="X78" s="52" t="n">
        <v>46233.4534722222</v>
      </c>
      <c r="Y78" s="51" t="str">
        <f aca="false">IF($Y$72="","",$Y$72)</f>
        <v>Project Manager</v>
      </c>
    </row>
    <row r="79" customFormat="false" ht="15" hidden="false" customHeight="false" outlineLevel="0" collapsed="false">
      <c r="A79" s="41" t="s">
        <v>84</v>
      </c>
      <c r="B79" s="41" t="s">
        <v>85</v>
      </c>
      <c r="C79" s="41" t="str">
        <f aca="false">'Process Summary'!B15</f>
        <v>MEDIUM</v>
      </c>
      <c r="D79" s="41" t="str">
        <f aca="false">'Process Summary'!C15</f>
        <v>Developer 4</v>
      </c>
      <c r="E79" s="41" t="str">
        <f aca="false">IF(F79=100%,"Completed",IF(E80="On Hold","On Hold",IF(E81="On Hold","On Hold",IF(E82="On Hold","On Hold",IF(E83="On Hold","On Hold",IF(E84="On Hold","On Hold",IF(E85="On Hold","On Hold",IF(F79&gt;0%,"In Progress","Not Started"))))))))</f>
        <v>Not Started</v>
      </c>
      <c r="F79" s="42" t="n">
        <f aca="false">(F80*3+F81*5+F82+F83*IF(C79="LOW",13,IF(C79="MEDIUM",23,33))+F84*2+F85)/(12+IF(C79="LOW",13,IF(C79="MEDIUM",23,33)))</f>
        <v>0</v>
      </c>
      <c r="G79" s="43" t="n">
        <f aca="false">'Process Summary'!G15</f>
        <v>46268</v>
      </c>
      <c r="H79" s="43" t="n">
        <f aca="false">H85</f>
        <v>46306</v>
      </c>
      <c r="I79" s="43" t="str">
        <f aca="false">IF(COUNT(I80:I85)=0,"",MIN(I80:I85))</f>
        <v/>
      </c>
      <c r="J79" s="43" t="str">
        <f aca="false">IF(COUNT(J80:J85)=0,"",MAX(J80:J85))</f>
        <v/>
      </c>
      <c r="K79" s="41" t="n">
        <f aca="true">IF(E79="Cancelled","",IF(J79&lt;&gt;"",J79-H79,IF(AND(E79&lt;&gt;"Completed",TODAY()&gt;H79),TODAY()-H79,0)))</f>
        <v>0</v>
      </c>
      <c r="L79" s="41" t="str">
        <f aca="false">IF(E79="Cancelled","Gray",IF(E79="On Hold","Red",IF(E79="Completed",IF(K79&gt;5,"Red",IF(K79&gt;0,"Amber","Green")),IF(K79&gt;5,"Red",IF(K79&gt;0,"Amber","Green")))))</f>
        <v>Green</v>
      </c>
      <c r="M79" s="44"/>
      <c r="N79" s="44"/>
      <c r="O79" s="41" t="s">
        <v>105</v>
      </c>
      <c r="P79" s="41"/>
      <c r="Q79" s="41"/>
      <c r="R79" s="41" t="s">
        <v>87</v>
      </c>
      <c r="S79" s="44"/>
      <c r="T79" s="44"/>
      <c r="U79" s="41" t="s">
        <v>88</v>
      </c>
      <c r="V79" s="41"/>
      <c r="W79" s="41"/>
      <c r="X79" s="45" t="n">
        <v>46233.4534722222</v>
      </c>
      <c r="Y79" s="41" t="s">
        <v>89</v>
      </c>
    </row>
    <row r="80" customFormat="false" ht="15.75" hidden="false" customHeight="true" outlineLevel="0" collapsed="false">
      <c r="A80" s="51"/>
      <c r="B80" s="51" t="s">
        <v>22</v>
      </c>
      <c r="C80" s="51" t="str">
        <f aca="false">C79</f>
        <v>MEDIUM</v>
      </c>
      <c r="D80" s="51" t="str">
        <f aca="false">D79</f>
        <v>Developer 4</v>
      </c>
      <c r="E80" s="34" t="s">
        <v>9</v>
      </c>
      <c r="F80" s="53" t="n">
        <f aca="false">IF(E80="Completed",100%,IF(OR(E80="In Progress",E80="On Hold"),50%,0%))</f>
        <v>0</v>
      </c>
      <c r="G80" s="49" t="n">
        <f aca="false">G79</f>
        <v>46268</v>
      </c>
      <c r="H80" s="49" t="n">
        <f aca="false">G80+(Settings!$B$5)-1+2*INT((WEEKDAY(G80,1)-1+(Settings!$B$5)-1)/5)</f>
        <v>46272</v>
      </c>
      <c r="I80" s="49"/>
      <c r="J80" s="49"/>
      <c r="K80" s="51" t="n">
        <f aca="true">IF(E80="Cancelled","",IF(J80&lt;&gt;"",J80-H80,IF(AND(E80&lt;&gt;"Completed",TODAY()&gt;H80),TODAY()-H80,0)))</f>
        <v>0</v>
      </c>
      <c r="L80" s="51" t="str">
        <f aca="false">IF(E80="Cancelled","Gray",IF(E80="On Hold","Red",IF(E80="Completed",IF(K80&gt;5,"Red",IF(K80&gt;0,"Amber","Green")),IF(K80&gt;5,"Red",IF(K80&gt;0,"Amber","Green")))))</f>
        <v>Green</v>
      </c>
      <c r="M80" s="50" t="s">
        <v>90</v>
      </c>
      <c r="N80" s="50"/>
      <c r="O80" s="34" t="str">
        <f aca="false">$O$79</f>
        <v>RPA-012</v>
      </c>
      <c r="P80" s="34"/>
      <c r="Q80" s="51"/>
      <c r="R80" s="34" t="s">
        <v>87</v>
      </c>
      <c r="S80" s="50"/>
      <c r="T80" s="50"/>
      <c r="U80" s="51" t="str">
        <f aca="false">$U$79</f>
        <v>Medium</v>
      </c>
      <c r="V80" s="51" t="str">
        <f aca="false">IF($V$79="","",$V$79)</f>
        <v/>
      </c>
      <c r="W80" s="34" t="str">
        <f aca="false">IF($W$79="","",$W$79)</f>
        <v/>
      </c>
      <c r="X80" s="52" t="n">
        <v>46233.4534722222</v>
      </c>
      <c r="Y80" s="51" t="str">
        <f aca="false">IF($Y$79="","",$Y$79)</f>
        <v>Project Manager</v>
      </c>
    </row>
    <row r="81" customFormat="false" ht="15.75" hidden="false" customHeight="true" outlineLevel="0" collapsed="false">
      <c r="A81" s="51"/>
      <c r="B81" s="51" t="s">
        <v>24</v>
      </c>
      <c r="C81" s="51" t="str">
        <f aca="false">C79</f>
        <v>MEDIUM</v>
      </c>
      <c r="D81" s="51" t="str">
        <f aca="false">D79</f>
        <v>Developer 4</v>
      </c>
      <c r="E81" s="34" t="s">
        <v>9</v>
      </c>
      <c r="F81" s="53" t="n">
        <f aca="false">IF(E81="Completed",100%,IF(OR(E81="In Progress",E81="On Hold"),50%,0%))</f>
        <v>0</v>
      </c>
      <c r="G81" s="49" t="n">
        <f aca="false">H80+1+2*INT((WEEKDAY(H80,1)-1+1)/5)</f>
        <v>46273</v>
      </c>
      <c r="H81" s="49" t="n">
        <f aca="false">G81+(Settings!$B$6)-1+2*INT((WEEKDAY(G81,1)-1+(Settings!$B$6)-1)/5)</f>
        <v>46279</v>
      </c>
      <c r="I81" s="49"/>
      <c r="J81" s="49"/>
      <c r="K81" s="51" t="n">
        <f aca="true">IF(E81="Cancelled","",IF(J81&lt;&gt;"",J81-H81,IF(AND(E81&lt;&gt;"Completed",TODAY()&gt;H81),TODAY()-H81,0)))</f>
        <v>0</v>
      </c>
      <c r="L81" s="51" t="str">
        <f aca="false">IF(E81="Cancelled","Gray",IF(E81="On Hold","Red",IF(E81="Completed",IF(K81&gt;5,"Red",IF(K81&gt;0,"Amber","Green")),IF(K81&gt;5,"Red",IF(K81&gt;0,"Amber","Green")))))</f>
        <v>Green</v>
      </c>
      <c r="M81" s="50" t="s">
        <v>90</v>
      </c>
      <c r="N81" s="50"/>
      <c r="O81" s="34" t="str">
        <f aca="false">$O$79</f>
        <v>RPA-012</v>
      </c>
      <c r="P81" s="34"/>
      <c r="Q81" s="51"/>
      <c r="R81" s="34" t="s">
        <v>87</v>
      </c>
      <c r="S81" s="50"/>
      <c r="T81" s="50"/>
      <c r="U81" s="51" t="str">
        <f aca="false">$U$79</f>
        <v>Medium</v>
      </c>
      <c r="V81" s="51" t="str">
        <f aca="false">IF($V$79="","",$V$79)</f>
        <v/>
      </c>
      <c r="W81" s="34" t="str">
        <f aca="false">IF($W$79="","",$W$79)</f>
        <v/>
      </c>
      <c r="X81" s="52" t="n">
        <v>46233.4534722222</v>
      </c>
      <c r="Y81" s="51" t="str">
        <f aca="false">IF($Y$79="","",$Y$79)</f>
        <v>Project Manager</v>
      </c>
    </row>
    <row r="82" customFormat="false" ht="15.75" hidden="false" customHeight="true" outlineLevel="0" collapsed="false">
      <c r="A82" s="51"/>
      <c r="B82" s="51" t="s">
        <v>26</v>
      </c>
      <c r="C82" s="51" t="str">
        <f aca="false">C79</f>
        <v>MEDIUM</v>
      </c>
      <c r="D82" s="51" t="str">
        <f aca="false">D79</f>
        <v>Developer 4</v>
      </c>
      <c r="E82" s="34" t="s">
        <v>9</v>
      </c>
      <c r="F82" s="53" t="n">
        <f aca="false">IF(E82="Completed",100%,IF(OR(E82="In Progress",E82="On Hold"),50%,0%))</f>
        <v>0</v>
      </c>
      <c r="G82" s="49" t="n">
        <f aca="false">H81+1+2*INT((WEEKDAY(H81,1)-1+1)/5)</f>
        <v>46280</v>
      </c>
      <c r="H82" s="49" t="n">
        <f aca="false">G82+(Settings!$B$7)-1+2*INT((WEEKDAY(G82,1)-1+(Settings!$B$7)-1)/5)</f>
        <v>46280</v>
      </c>
      <c r="I82" s="49"/>
      <c r="J82" s="49"/>
      <c r="K82" s="51" t="n">
        <f aca="true">IF(E82="Cancelled","",IF(J82&lt;&gt;"",J82-H82,IF(AND(E82&lt;&gt;"Completed",TODAY()&gt;H82),TODAY()-H82,0)))</f>
        <v>0</v>
      </c>
      <c r="L82" s="51" t="str">
        <f aca="false">IF(E82="Cancelled","Gray",IF(E82="On Hold","Red",IF(E82="Completed",IF(K82&gt;5,"Red",IF(K82&gt;0,"Amber","Green")),IF(K82&gt;5,"Red",IF(K82&gt;0,"Amber","Green")))))</f>
        <v>Green</v>
      </c>
      <c r="M82" s="50" t="s">
        <v>91</v>
      </c>
      <c r="N82" s="50"/>
      <c r="O82" s="34" t="str">
        <f aca="false">$O$79</f>
        <v>RPA-012</v>
      </c>
      <c r="P82" s="34"/>
      <c r="Q82" s="51"/>
      <c r="R82" s="34" t="s">
        <v>87</v>
      </c>
      <c r="S82" s="50"/>
      <c r="T82" s="50"/>
      <c r="U82" s="51" t="str">
        <f aca="false">$U$79</f>
        <v>Medium</v>
      </c>
      <c r="V82" s="51" t="str">
        <f aca="false">IF($V$79="","",$V$79)</f>
        <v/>
      </c>
      <c r="W82" s="34" t="str">
        <f aca="false">IF($W$79="","",$W$79)</f>
        <v/>
      </c>
      <c r="X82" s="52" t="n">
        <v>46233.4534722222</v>
      </c>
      <c r="Y82" s="51" t="str">
        <f aca="false">IF($Y$79="","",$Y$79)</f>
        <v>Project Manager</v>
      </c>
    </row>
    <row r="83" customFormat="false" ht="15.75" hidden="false" customHeight="true" outlineLevel="0" collapsed="false">
      <c r="A83" s="51"/>
      <c r="B83" s="51" t="s">
        <v>28</v>
      </c>
      <c r="C83" s="51" t="str">
        <f aca="false">C79</f>
        <v>MEDIUM</v>
      </c>
      <c r="D83" s="51" t="str">
        <f aca="false">D79</f>
        <v>Developer 4</v>
      </c>
      <c r="E83" s="34" t="s">
        <v>9</v>
      </c>
      <c r="F83" s="53" t="n">
        <f aca="false">IF(E83="Completed",100%,IF(OR(E83="In Progress",E83="On Hold"),50%,0%))</f>
        <v>0</v>
      </c>
      <c r="G83" s="49" t="n">
        <f aca="false">H82+1+2*INT((WEEKDAY(H82,1)-1+1)/5)</f>
        <v>46281</v>
      </c>
      <c r="H83" s="49" t="n">
        <f aca="false">G83+(IF(C83="LOW",Settings!$B$8,IF(C83="MEDIUM",Settings!$B$9,Settings!$B$10)))-1+2*INT((WEEKDAY(G83,1)-1+(IF(C83="LOW",Settings!$B$8,IF(C83="MEDIUM",Settings!$B$9,Settings!$B$10)))-1)/5)</f>
        <v>46301</v>
      </c>
      <c r="I83" s="49"/>
      <c r="J83" s="49"/>
      <c r="K83" s="51" t="n">
        <f aca="true">IF(E83="Cancelled","",IF(J83&lt;&gt;"",J83-H83,IF(AND(E83&lt;&gt;"Completed",TODAY()&gt;H83),TODAY()-H83,0)))</f>
        <v>0</v>
      </c>
      <c r="L83" s="51" t="str">
        <f aca="false">IF(E83="Cancelled","Gray",IF(E83="On Hold","Red",IF(E83="Completed",IF(K83&gt;5,"Red",IF(K83&gt;0,"Amber","Green")),IF(K83&gt;5,"Red",IF(K83&gt;0,"Amber","Green")))))</f>
        <v>Green</v>
      </c>
      <c r="M83" s="50" t="s">
        <v>92</v>
      </c>
      <c r="N83" s="50"/>
      <c r="O83" s="34" t="str">
        <f aca="false">$O$79</f>
        <v>RPA-012</v>
      </c>
      <c r="P83" s="34"/>
      <c r="Q83" s="51"/>
      <c r="R83" s="34" t="s">
        <v>87</v>
      </c>
      <c r="S83" s="50"/>
      <c r="T83" s="50"/>
      <c r="U83" s="51" t="str">
        <f aca="false">$U$79</f>
        <v>Medium</v>
      </c>
      <c r="V83" s="51" t="str">
        <f aca="false">IF($V$79="","",$V$79)</f>
        <v/>
      </c>
      <c r="W83" s="34" t="str">
        <f aca="false">IF($W$79="","",$W$79)</f>
        <v/>
      </c>
      <c r="X83" s="52" t="n">
        <v>46233.4534722222</v>
      </c>
      <c r="Y83" s="51" t="str">
        <f aca="false">IF($Y$79="","",$Y$79)</f>
        <v>Project Manager</v>
      </c>
    </row>
    <row r="84" customFormat="false" ht="15.75" hidden="false" customHeight="true" outlineLevel="0" collapsed="false">
      <c r="A84" s="51"/>
      <c r="B84" s="51" t="s">
        <v>30</v>
      </c>
      <c r="C84" s="51" t="str">
        <f aca="false">C79</f>
        <v>MEDIUM</v>
      </c>
      <c r="D84" s="51" t="str">
        <f aca="false">D79</f>
        <v>Developer 4</v>
      </c>
      <c r="E84" s="34" t="s">
        <v>9</v>
      </c>
      <c r="F84" s="53" t="n">
        <f aca="false">IF(E84="Completed",100%,IF(OR(E84="In Progress",E84="On Hold"),50%,0%))</f>
        <v>0</v>
      </c>
      <c r="G84" s="49" t="n">
        <f aca="false">H83+1+2*INT((WEEKDAY(H83,1)-1+1)/5)</f>
        <v>46302</v>
      </c>
      <c r="H84" s="49" t="n">
        <f aca="false">G84+(Settings!$B$11)-1+2*INT((WEEKDAY(G84,1)-1+(Settings!$B$11)-1)/5)</f>
        <v>46303</v>
      </c>
      <c r="I84" s="49"/>
      <c r="J84" s="49"/>
      <c r="K84" s="51" t="n">
        <f aca="true">IF(E84="Cancelled","",IF(J84&lt;&gt;"",J84-H84,IF(AND(E84&lt;&gt;"Completed",TODAY()&gt;H84),TODAY()-H84,0)))</f>
        <v>0</v>
      </c>
      <c r="L84" s="51" t="str">
        <f aca="false">IF(E84="Cancelled","Gray",IF(E84="On Hold","Red",IF(E84="Completed",IF(K84&gt;5,"Red",IF(K84&gt;0,"Amber","Green")),IF(K84&gt;5,"Red",IF(K84&gt;0,"Amber","Green")))))</f>
        <v>Green</v>
      </c>
      <c r="M84" s="50" t="s">
        <v>93</v>
      </c>
      <c r="N84" s="50"/>
      <c r="O84" s="34" t="str">
        <f aca="false">$O$79</f>
        <v>RPA-012</v>
      </c>
      <c r="P84" s="34"/>
      <c r="Q84" s="51"/>
      <c r="R84" s="34" t="s">
        <v>87</v>
      </c>
      <c r="S84" s="50"/>
      <c r="T84" s="50"/>
      <c r="U84" s="51" t="str">
        <f aca="false">$U$79</f>
        <v>Medium</v>
      </c>
      <c r="V84" s="51" t="str">
        <f aca="false">IF($V$79="","",$V$79)</f>
        <v/>
      </c>
      <c r="W84" s="34" t="str">
        <f aca="false">IF($W$79="","",$W$79)</f>
        <v/>
      </c>
      <c r="X84" s="52" t="n">
        <v>46233.4534722222</v>
      </c>
      <c r="Y84" s="51" t="str">
        <f aca="false">IF($Y$79="","",$Y$79)</f>
        <v>Project Manager</v>
      </c>
    </row>
    <row r="85" customFormat="false" ht="15.75" hidden="false" customHeight="true" outlineLevel="0" collapsed="false">
      <c r="A85" s="51"/>
      <c r="B85" s="51" t="s">
        <v>31</v>
      </c>
      <c r="C85" s="51" t="str">
        <f aca="false">C79</f>
        <v>MEDIUM</v>
      </c>
      <c r="D85" s="51" t="str">
        <f aca="false">D79</f>
        <v>Developer 4</v>
      </c>
      <c r="E85" s="34" t="s">
        <v>9</v>
      </c>
      <c r="F85" s="53" t="n">
        <f aca="false">IF(E85="Completed",100%,IF(OR(E85="In Progress",E85="On Hold"),50%,0%))</f>
        <v>0</v>
      </c>
      <c r="G85" s="49" t="n">
        <f aca="false">H84+1+2*INT((WEEKDAY(H84,1)-1+1)/5)</f>
        <v>46306</v>
      </c>
      <c r="H85" s="49" t="n">
        <f aca="false">G85+(Settings!$B$12)-1+2*INT((WEEKDAY(G85,1)-1+(Settings!$B$12)-1)/5)</f>
        <v>46306</v>
      </c>
      <c r="I85" s="49"/>
      <c r="J85" s="49"/>
      <c r="K85" s="51" t="n">
        <f aca="true">IF(E85="Cancelled","",IF(J85&lt;&gt;"",J85-H85,IF(AND(E85&lt;&gt;"Completed",TODAY()&gt;H85),TODAY()-H85,0)))</f>
        <v>0</v>
      </c>
      <c r="L85" s="51" t="str">
        <f aca="false">IF(E85="Cancelled","Gray",IF(E85="On Hold","Red",IF(E85="Completed",IF(K85&gt;5,"Red",IF(K85&gt;0,"Amber","Green")),IF(K85&gt;5,"Red",IF(K85&gt;0,"Amber","Green")))))</f>
        <v>Green</v>
      </c>
      <c r="M85" s="50" t="s">
        <v>92</v>
      </c>
      <c r="N85" s="50"/>
      <c r="O85" s="34" t="str">
        <f aca="false">$O$79</f>
        <v>RPA-012</v>
      </c>
      <c r="P85" s="34"/>
      <c r="Q85" s="51"/>
      <c r="R85" s="34" t="s">
        <v>87</v>
      </c>
      <c r="S85" s="50"/>
      <c r="T85" s="50"/>
      <c r="U85" s="51" t="str">
        <f aca="false">$U$79</f>
        <v>Medium</v>
      </c>
      <c r="V85" s="51" t="str">
        <f aca="false">IF($V$79="","",$V$79)</f>
        <v/>
      </c>
      <c r="W85" s="34" t="str">
        <f aca="false">IF($W$79="","",$W$79)</f>
        <v/>
      </c>
      <c r="X85" s="52" t="n">
        <v>46233.4534722222</v>
      </c>
      <c r="Y85" s="51" t="str">
        <f aca="false">IF($Y$79="","",$Y$79)</f>
        <v>Project Manager</v>
      </c>
    </row>
    <row r="86" customFormat="false" ht="15" hidden="false" customHeight="false" outlineLevel="0" collapsed="false">
      <c r="A86" s="41" t="s">
        <v>84</v>
      </c>
      <c r="B86" s="41" t="s">
        <v>85</v>
      </c>
      <c r="C86" s="41" t="str">
        <f aca="false">'Process Summary'!B16</f>
        <v>MEDIUM</v>
      </c>
      <c r="D86" s="41" t="str">
        <f aca="false">'Process Summary'!C16</f>
        <v>Developer 2</v>
      </c>
      <c r="E86" s="41" t="str">
        <f aca="false">IF(F86=100%,"Completed",IF(E87="On Hold","On Hold",IF(E88="On Hold","On Hold",IF(E89="On Hold","On Hold",IF(E90="On Hold","On Hold",IF(E91="On Hold","On Hold",IF(E92="On Hold","On Hold",IF(F86&gt;0%,"In Progress","Not Started"))))))))</f>
        <v>Not Started</v>
      </c>
      <c r="F86" s="42" t="n">
        <f aca="false">(F87*3+F88*5+F89+F90*IF(C86="LOW",13,IF(C86="MEDIUM",23,33))+F91*2+F92)/(12+IF(C86="LOW",13,IF(C86="MEDIUM",23,33)))</f>
        <v>0</v>
      </c>
      <c r="G86" s="43" t="n">
        <f aca="false">'Process Summary'!G16</f>
        <v>46307</v>
      </c>
      <c r="H86" s="43" t="n">
        <f aca="false">H92</f>
        <v>46343</v>
      </c>
      <c r="I86" s="43" t="str">
        <f aca="false">IF(COUNT(I87:I92)=0,"",MIN(I87:I92))</f>
        <v/>
      </c>
      <c r="J86" s="43" t="str">
        <f aca="false">IF(COUNT(J87:J92)=0,"",MAX(J87:J92))</f>
        <v/>
      </c>
      <c r="K86" s="41" t="n">
        <f aca="true">IF(E86="Cancelled","",IF(J86&lt;&gt;"",J86-H86,IF(AND(E86&lt;&gt;"Completed",TODAY()&gt;H86),TODAY()-H86,0)))</f>
        <v>0</v>
      </c>
      <c r="L86" s="41" t="str">
        <f aca="false">IF(E86="Cancelled","Gray",IF(E86="On Hold","Red",IF(E86="Completed",IF(K86&gt;5,"Red",IF(K86&gt;0,"Amber","Green")),IF(K86&gt;5,"Red",IF(K86&gt;0,"Amber","Green")))))</f>
        <v>Green</v>
      </c>
      <c r="M86" s="44"/>
      <c r="N86" s="44"/>
      <c r="O86" s="41" t="s">
        <v>106</v>
      </c>
      <c r="P86" s="41"/>
      <c r="Q86" s="41"/>
      <c r="R86" s="41" t="s">
        <v>87</v>
      </c>
      <c r="S86" s="44"/>
      <c r="T86" s="44"/>
      <c r="U86" s="41" t="s">
        <v>88</v>
      </c>
      <c r="V86" s="41"/>
      <c r="W86" s="41"/>
      <c r="X86" s="45" t="n">
        <v>46233.4534722222</v>
      </c>
      <c r="Y86" s="41" t="s">
        <v>89</v>
      </c>
    </row>
    <row r="87" customFormat="false" ht="15.75" hidden="false" customHeight="true" outlineLevel="0" collapsed="false">
      <c r="A87" s="46"/>
      <c r="B87" s="46" t="s">
        <v>22</v>
      </c>
      <c r="C87" s="46" t="str">
        <f aca="false">C86</f>
        <v>MEDIUM</v>
      </c>
      <c r="D87" s="46" t="str">
        <f aca="false">D86</f>
        <v>Developer 2</v>
      </c>
      <c r="E87" s="34" t="s">
        <v>9</v>
      </c>
      <c r="F87" s="47" t="n">
        <f aca="false">IF(E87="Completed",100%,IF(OR(E87="In Progress",E87="On Hold"),50%,0%))</f>
        <v>0</v>
      </c>
      <c r="G87" s="48" t="n">
        <f aca="false">G86</f>
        <v>46307</v>
      </c>
      <c r="H87" s="48" t="n">
        <f aca="false">G87+(Settings!$B$5)-1+2*INT((WEEKDAY(G87,1)-1+(Settings!$B$5)-1)/5)</f>
        <v>46309</v>
      </c>
      <c r="I87" s="49"/>
      <c r="J87" s="49"/>
      <c r="K87" s="46" t="n">
        <f aca="true">IF(E87="Cancelled","",IF(J87&lt;&gt;"",J87-H87,IF(AND(E87&lt;&gt;"Completed",TODAY()&gt;H87),TODAY()-H87,0)))</f>
        <v>0</v>
      </c>
      <c r="L87" s="46" t="str">
        <f aca="false">IF(E87="Cancelled","Gray",IF(E87="On Hold","Red",IF(E87="Completed",IF(K87&gt;5,"Red",IF(K87&gt;0,"Amber","Green")),IF(K87&gt;5,"Red",IF(K87&gt;0,"Amber","Green")))))</f>
        <v>Green</v>
      </c>
      <c r="M87" s="50" t="s">
        <v>90</v>
      </c>
      <c r="N87" s="50"/>
      <c r="O87" s="34" t="str">
        <f aca="false">$O$86</f>
        <v>RPA-013</v>
      </c>
      <c r="P87" s="34"/>
      <c r="Q87" s="51"/>
      <c r="R87" s="34" t="s">
        <v>87</v>
      </c>
      <c r="S87" s="50"/>
      <c r="T87" s="50"/>
      <c r="U87" s="51" t="str">
        <f aca="false">$U$86</f>
        <v>Medium</v>
      </c>
      <c r="V87" s="51" t="str">
        <f aca="false">IF($V$86="","",$V$86)</f>
        <v/>
      </c>
      <c r="W87" s="34" t="str">
        <f aca="false">IF($W$86="","",$W$86)</f>
        <v/>
      </c>
      <c r="X87" s="52" t="n">
        <v>46233.4534722222</v>
      </c>
      <c r="Y87" s="51" t="str">
        <f aca="false">IF($Y$86="","",$Y$86)</f>
        <v>Project Manager</v>
      </c>
    </row>
    <row r="88" customFormat="false" ht="15.75" hidden="false" customHeight="true" outlineLevel="0" collapsed="false">
      <c r="A88" s="46"/>
      <c r="B88" s="46" t="s">
        <v>24</v>
      </c>
      <c r="C88" s="46" t="str">
        <f aca="false">C86</f>
        <v>MEDIUM</v>
      </c>
      <c r="D88" s="46" t="str">
        <f aca="false">D86</f>
        <v>Developer 2</v>
      </c>
      <c r="E88" s="34" t="s">
        <v>9</v>
      </c>
      <c r="F88" s="47" t="n">
        <f aca="false">IF(E88="Completed",100%,IF(OR(E88="In Progress",E88="On Hold"),50%,0%))</f>
        <v>0</v>
      </c>
      <c r="G88" s="48" t="n">
        <f aca="false">H87+1+2*INT((WEEKDAY(H87,1)-1+1)/5)</f>
        <v>46310</v>
      </c>
      <c r="H88" s="48" t="n">
        <f aca="false">G88+(Settings!$B$6)-1+2*INT((WEEKDAY(G88,1)-1+(Settings!$B$6)-1)/5)</f>
        <v>46316</v>
      </c>
      <c r="I88" s="49"/>
      <c r="J88" s="49"/>
      <c r="K88" s="46" t="n">
        <f aca="true">IF(E88="Cancelled","",IF(J88&lt;&gt;"",J88-H88,IF(AND(E88&lt;&gt;"Completed",TODAY()&gt;H88),TODAY()-H88,0)))</f>
        <v>0</v>
      </c>
      <c r="L88" s="46" t="str">
        <f aca="false">IF(E88="Cancelled","Gray",IF(E88="On Hold","Red",IF(E88="Completed",IF(K88&gt;5,"Red",IF(K88&gt;0,"Amber","Green")),IF(K88&gt;5,"Red",IF(K88&gt;0,"Amber","Green")))))</f>
        <v>Green</v>
      </c>
      <c r="M88" s="50" t="s">
        <v>90</v>
      </c>
      <c r="N88" s="50"/>
      <c r="O88" s="34" t="str">
        <f aca="false">$O$86</f>
        <v>RPA-013</v>
      </c>
      <c r="P88" s="34"/>
      <c r="Q88" s="51"/>
      <c r="R88" s="34" t="s">
        <v>87</v>
      </c>
      <c r="S88" s="50"/>
      <c r="T88" s="50"/>
      <c r="U88" s="51" t="str">
        <f aca="false">$U$86</f>
        <v>Medium</v>
      </c>
      <c r="V88" s="51" t="str">
        <f aca="false">IF($V$86="","",$V$86)</f>
        <v/>
      </c>
      <c r="W88" s="34" t="str">
        <f aca="false">IF($W$86="","",$W$86)</f>
        <v/>
      </c>
      <c r="X88" s="52" t="n">
        <v>46233.4534722222</v>
      </c>
      <c r="Y88" s="51" t="str">
        <f aca="false">IF($Y$86="","",$Y$86)</f>
        <v>Project Manager</v>
      </c>
    </row>
    <row r="89" customFormat="false" ht="15.75" hidden="false" customHeight="true" outlineLevel="0" collapsed="false">
      <c r="A89" s="46"/>
      <c r="B89" s="46" t="s">
        <v>26</v>
      </c>
      <c r="C89" s="46" t="str">
        <f aca="false">C86</f>
        <v>MEDIUM</v>
      </c>
      <c r="D89" s="46" t="str">
        <f aca="false">D86</f>
        <v>Developer 2</v>
      </c>
      <c r="E89" s="34" t="s">
        <v>9</v>
      </c>
      <c r="F89" s="47" t="n">
        <f aca="false">IF(E89="Completed",100%,IF(OR(E89="In Progress",E89="On Hold"),50%,0%))</f>
        <v>0</v>
      </c>
      <c r="G89" s="48" t="n">
        <f aca="false">H88+1+2*INT((WEEKDAY(H88,1)-1+1)/5)</f>
        <v>46317</v>
      </c>
      <c r="H89" s="48" t="n">
        <f aca="false">G89+(Settings!$B$7)-1+2*INT((WEEKDAY(G89,1)-1+(Settings!$B$7)-1)/5)</f>
        <v>46317</v>
      </c>
      <c r="I89" s="49"/>
      <c r="J89" s="49"/>
      <c r="K89" s="46" t="n">
        <f aca="true">IF(E89="Cancelled","",IF(J89&lt;&gt;"",J89-H89,IF(AND(E89&lt;&gt;"Completed",TODAY()&gt;H89),TODAY()-H89,0)))</f>
        <v>0</v>
      </c>
      <c r="L89" s="46" t="str">
        <f aca="false">IF(E89="Cancelled","Gray",IF(E89="On Hold","Red",IF(E89="Completed",IF(K89&gt;5,"Red",IF(K89&gt;0,"Amber","Green")),IF(K89&gt;5,"Red",IF(K89&gt;0,"Amber","Green")))))</f>
        <v>Green</v>
      </c>
      <c r="M89" s="50" t="s">
        <v>91</v>
      </c>
      <c r="N89" s="50"/>
      <c r="O89" s="34" t="str">
        <f aca="false">$O$86</f>
        <v>RPA-013</v>
      </c>
      <c r="P89" s="34"/>
      <c r="Q89" s="51"/>
      <c r="R89" s="34" t="s">
        <v>87</v>
      </c>
      <c r="S89" s="50"/>
      <c r="T89" s="50"/>
      <c r="U89" s="51" t="str">
        <f aca="false">$U$86</f>
        <v>Medium</v>
      </c>
      <c r="V89" s="51" t="str">
        <f aca="false">IF($V$86="","",$V$86)</f>
        <v/>
      </c>
      <c r="W89" s="34" t="str">
        <f aca="false">IF($W$86="","",$W$86)</f>
        <v/>
      </c>
      <c r="X89" s="52" t="n">
        <v>46233.4534722222</v>
      </c>
      <c r="Y89" s="51" t="str">
        <f aca="false">IF($Y$86="","",$Y$86)</f>
        <v>Project Manager</v>
      </c>
    </row>
    <row r="90" customFormat="false" ht="15.75" hidden="false" customHeight="true" outlineLevel="0" collapsed="false">
      <c r="A90" s="46"/>
      <c r="B90" s="46" t="s">
        <v>28</v>
      </c>
      <c r="C90" s="46" t="str">
        <f aca="false">C86</f>
        <v>MEDIUM</v>
      </c>
      <c r="D90" s="46" t="str">
        <f aca="false">D86</f>
        <v>Developer 2</v>
      </c>
      <c r="E90" s="34" t="s">
        <v>9</v>
      </c>
      <c r="F90" s="47" t="n">
        <f aca="false">IF(E90="Completed",100%,IF(OR(E90="In Progress",E90="On Hold"),50%,0%))</f>
        <v>0</v>
      </c>
      <c r="G90" s="48" t="n">
        <f aca="false">H89+1+2*INT((WEEKDAY(H89,1)-1+1)/5)</f>
        <v>46320</v>
      </c>
      <c r="H90" s="48" t="n">
        <f aca="false">G90+(IF(C90="LOW",Settings!$B$8,IF(C90="MEDIUM",Settings!$B$9,Settings!$B$10)))-1+2*INT((WEEKDAY(G90,1)-1+(IF(C90="LOW",Settings!$B$8,IF(C90="MEDIUM",Settings!$B$9,Settings!$B$10)))-1)/5)</f>
        <v>46338</v>
      </c>
      <c r="I90" s="49"/>
      <c r="J90" s="49"/>
      <c r="K90" s="46" t="n">
        <f aca="true">IF(E90="Cancelled","",IF(J90&lt;&gt;"",J90-H90,IF(AND(E90&lt;&gt;"Completed",TODAY()&gt;H90),TODAY()-H90,0)))</f>
        <v>0</v>
      </c>
      <c r="L90" s="46" t="str">
        <f aca="false">IF(E90="Cancelled","Gray",IF(E90="On Hold","Red",IF(E90="Completed",IF(K90&gt;5,"Red",IF(K90&gt;0,"Amber","Green")),IF(K90&gt;5,"Red",IF(K90&gt;0,"Amber","Green")))))</f>
        <v>Green</v>
      </c>
      <c r="M90" s="50" t="s">
        <v>92</v>
      </c>
      <c r="N90" s="50"/>
      <c r="O90" s="34" t="str">
        <f aca="false">$O$86</f>
        <v>RPA-013</v>
      </c>
      <c r="P90" s="34"/>
      <c r="Q90" s="51"/>
      <c r="R90" s="34" t="s">
        <v>87</v>
      </c>
      <c r="S90" s="50"/>
      <c r="T90" s="50"/>
      <c r="U90" s="51" t="str">
        <f aca="false">$U$86</f>
        <v>Medium</v>
      </c>
      <c r="V90" s="51" t="str">
        <f aca="false">IF($V$86="","",$V$86)</f>
        <v/>
      </c>
      <c r="W90" s="34" t="str">
        <f aca="false">IF($W$86="","",$W$86)</f>
        <v/>
      </c>
      <c r="X90" s="52" t="n">
        <v>46233.4534722222</v>
      </c>
      <c r="Y90" s="51" t="str">
        <f aca="false">IF($Y$86="","",$Y$86)</f>
        <v>Project Manager</v>
      </c>
    </row>
    <row r="91" customFormat="false" ht="15.75" hidden="false" customHeight="true" outlineLevel="0" collapsed="false">
      <c r="A91" s="46"/>
      <c r="B91" s="46" t="s">
        <v>30</v>
      </c>
      <c r="C91" s="46" t="str">
        <f aca="false">C86</f>
        <v>MEDIUM</v>
      </c>
      <c r="D91" s="46" t="str">
        <f aca="false">D86</f>
        <v>Developer 2</v>
      </c>
      <c r="E91" s="34" t="s">
        <v>9</v>
      </c>
      <c r="F91" s="47" t="n">
        <f aca="false">IF(E91="Completed",100%,IF(OR(E91="In Progress",E91="On Hold"),50%,0%))</f>
        <v>0</v>
      </c>
      <c r="G91" s="48" t="n">
        <f aca="false">H90+1+2*INT((WEEKDAY(H90,1)-1+1)/5)</f>
        <v>46341</v>
      </c>
      <c r="H91" s="48" t="n">
        <f aca="false">G91+(Settings!$B$11)-1+2*INT((WEEKDAY(G91,1)-1+(Settings!$B$11)-1)/5)</f>
        <v>46342</v>
      </c>
      <c r="I91" s="49"/>
      <c r="J91" s="49"/>
      <c r="K91" s="46" t="n">
        <f aca="true">IF(E91="Cancelled","",IF(J91&lt;&gt;"",J91-H91,IF(AND(E91&lt;&gt;"Completed",TODAY()&gt;H91),TODAY()-H91,0)))</f>
        <v>0</v>
      </c>
      <c r="L91" s="46" t="str">
        <f aca="false">IF(E91="Cancelled","Gray",IF(E91="On Hold","Red",IF(E91="Completed",IF(K91&gt;5,"Red",IF(K91&gt;0,"Amber","Green")),IF(K91&gt;5,"Red",IF(K91&gt;0,"Amber","Green")))))</f>
        <v>Green</v>
      </c>
      <c r="M91" s="50" t="s">
        <v>93</v>
      </c>
      <c r="N91" s="50"/>
      <c r="O91" s="34" t="str">
        <f aca="false">$O$86</f>
        <v>RPA-013</v>
      </c>
      <c r="P91" s="34"/>
      <c r="Q91" s="51"/>
      <c r="R91" s="34" t="s">
        <v>87</v>
      </c>
      <c r="S91" s="50"/>
      <c r="T91" s="50"/>
      <c r="U91" s="51" t="str">
        <f aca="false">$U$86</f>
        <v>Medium</v>
      </c>
      <c r="V91" s="51" t="str">
        <f aca="false">IF($V$86="","",$V$86)</f>
        <v/>
      </c>
      <c r="W91" s="34" t="str">
        <f aca="false">IF($W$86="","",$W$86)</f>
        <v/>
      </c>
      <c r="X91" s="52" t="n">
        <v>46233.4534722222</v>
      </c>
      <c r="Y91" s="51" t="str">
        <f aca="false">IF($Y$86="","",$Y$86)</f>
        <v>Project Manager</v>
      </c>
    </row>
    <row r="92" customFormat="false" ht="15.75" hidden="false" customHeight="true" outlineLevel="0" collapsed="false">
      <c r="A92" s="46"/>
      <c r="B92" s="46" t="s">
        <v>31</v>
      </c>
      <c r="C92" s="46" t="str">
        <f aca="false">C86</f>
        <v>MEDIUM</v>
      </c>
      <c r="D92" s="46" t="str">
        <f aca="false">D86</f>
        <v>Developer 2</v>
      </c>
      <c r="E92" s="34" t="s">
        <v>9</v>
      </c>
      <c r="F92" s="47" t="n">
        <f aca="false">IF(E92="Completed",100%,IF(OR(E92="In Progress",E92="On Hold"),50%,0%))</f>
        <v>0</v>
      </c>
      <c r="G92" s="48" t="n">
        <f aca="false">H91+1+2*INT((WEEKDAY(H91,1)-1+1)/5)</f>
        <v>46343</v>
      </c>
      <c r="H92" s="48" t="n">
        <f aca="false">G92+(Settings!$B$12)-1+2*INT((WEEKDAY(G92,1)-1+(Settings!$B$12)-1)/5)</f>
        <v>46343</v>
      </c>
      <c r="I92" s="49"/>
      <c r="J92" s="49"/>
      <c r="K92" s="46" t="n">
        <f aca="true">IF(E92="Cancelled","",IF(J92&lt;&gt;"",J92-H92,IF(AND(E92&lt;&gt;"Completed",TODAY()&gt;H92),TODAY()-H92,0)))</f>
        <v>0</v>
      </c>
      <c r="L92" s="46" t="str">
        <f aca="false">IF(E92="Cancelled","Gray",IF(E92="On Hold","Red",IF(E92="Completed",IF(K92&gt;5,"Red",IF(K92&gt;0,"Amber","Green")),IF(K92&gt;5,"Red",IF(K92&gt;0,"Amber","Green")))))</f>
        <v>Green</v>
      </c>
      <c r="M92" s="50" t="s">
        <v>92</v>
      </c>
      <c r="N92" s="50"/>
      <c r="O92" s="34" t="str">
        <f aca="false">$O$86</f>
        <v>RPA-013</v>
      </c>
      <c r="P92" s="34"/>
      <c r="Q92" s="51"/>
      <c r="R92" s="34" t="s">
        <v>87</v>
      </c>
      <c r="S92" s="50"/>
      <c r="T92" s="50"/>
      <c r="U92" s="51" t="str">
        <f aca="false">$U$86</f>
        <v>Medium</v>
      </c>
      <c r="V92" s="51" t="str">
        <f aca="false">IF($V$86="","",$V$86)</f>
        <v/>
      </c>
      <c r="W92" s="34" t="str">
        <f aca="false">IF($W$86="","",$W$86)</f>
        <v/>
      </c>
      <c r="X92" s="52" t="n">
        <v>46233.4534722222</v>
      </c>
      <c r="Y92" s="51" t="str">
        <f aca="false">IF($Y$86="","",$Y$86)</f>
        <v>Project Manager</v>
      </c>
    </row>
    <row r="93" customFormat="false" ht="15" hidden="false" customHeight="false" outlineLevel="0" collapsed="false">
      <c r="A93" s="41" t="s">
        <v>84</v>
      </c>
      <c r="B93" s="41" t="s">
        <v>85</v>
      </c>
      <c r="C93" s="41" t="str">
        <f aca="false">'Process Summary'!B17</f>
        <v>MEDIUM</v>
      </c>
      <c r="D93" s="41" t="str">
        <f aca="false">'Process Summary'!C17</f>
        <v>Developer 3</v>
      </c>
      <c r="E93" s="41" t="str">
        <f aca="false">IF(F93=100%,"Completed",IF(E94="On Hold","On Hold",IF(E95="On Hold","On Hold",IF(E96="On Hold","On Hold",IF(E97="On Hold","On Hold",IF(E98="On Hold","On Hold",IF(E99="On Hold","On Hold",IF(F93&gt;0%,"In Progress","Not Started"))))))))</f>
        <v>Not Started</v>
      </c>
      <c r="F93" s="42" t="n">
        <f aca="false">(F94*3+F95*5+F96+F97*IF(C93="LOW",13,IF(C93="MEDIUM",23,33))+F98*2+F99)/(12+IF(C93="LOW",13,IF(C93="MEDIUM",23,33)))</f>
        <v>0</v>
      </c>
      <c r="G93" s="43" t="n">
        <f aca="false">'Process Summary'!G17</f>
        <v>46307</v>
      </c>
      <c r="H93" s="43" t="n">
        <f aca="false">H99</f>
        <v>46343</v>
      </c>
      <c r="I93" s="43" t="str">
        <f aca="false">IF(COUNT(I94:I99)=0,"",MIN(I94:I99))</f>
        <v/>
      </c>
      <c r="J93" s="43" t="str">
        <f aca="false">IF(COUNT(J94:J99)=0,"",MAX(J94:J99))</f>
        <v/>
      </c>
      <c r="K93" s="41" t="n">
        <f aca="true">IF(E93="Cancelled","",IF(J93&lt;&gt;"",J93-H93,IF(AND(E93&lt;&gt;"Completed",TODAY()&gt;H93),TODAY()-H93,0)))</f>
        <v>0</v>
      </c>
      <c r="L93" s="41" t="str">
        <f aca="false">IF(E93="Cancelled","Gray",IF(E93="On Hold","Red",IF(E93="Completed",IF(K93&gt;5,"Red",IF(K93&gt;0,"Amber","Green")),IF(K93&gt;5,"Red",IF(K93&gt;0,"Amber","Green")))))</f>
        <v>Green</v>
      </c>
      <c r="M93" s="44"/>
      <c r="N93" s="44"/>
      <c r="O93" s="41" t="s">
        <v>107</v>
      </c>
      <c r="P93" s="41"/>
      <c r="Q93" s="41"/>
      <c r="R93" s="41" t="s">
        <v>87</v>
      </c>
      <c r="S93" s="44"/>
      <c r="T93" s="44"/>
      <c r="U93" s="41" t="s">
        <v>88</v>
      </c>
      <c r="V93" s="41"/>
      <c r="W93" s="41"/>
      <c r="X93" s="45" t="n">
        <v>46233.4534722222</v>
      </c>
      <c r="Y93" s="41" t="s">
        <v>89</v>
      </c>
    </row>
    <row r="94" customFormat="false" ht="15.75" hidden="false" customHeight="true" outlineLevel="0" collapsed="false">
      <c r="A94" s="51"/>
      <c r="B94" s="51" t="s">
        <v>22</v>
      </c>
      <c r="C94" s="51" t="str">
        <f aca="false">C93</f>
        <v>MEDIUM</v>
      </c>
      <c r="D94" s="51" t="str">
        <f aca="false">D93</f>
        <v>Developer 3</v>
      </c>
      <c r="E94" s="34" t="s">
        <v>9</v>
      </c>
      <c r="F94" s="53" t="n">
        <f aca="false">IF(E94="Completed",100%,IF(OR(E94="In Progress",E94="On Hold"),50%,0%))</f>
        <v>0</v>
      </c>
      <c r="G94" s="49" t="n">
        <f aca="false">G93</f>
        <v>46307</v>
      </c>
      <c r="H94" s="49" t="n">
        <f aca="false">G94+(Settings!$B$5)-1+2*INT((WEEKDAY(G94,1)-1+(Settings!$B$5)-1)/5)</f>
        <v>46309</v>
      </c>
      <c r="I94" s="49"/>
      <c r="J94" s="49"/>
      <c r="K94" s="51" t="n">
        <f aca="true">IF(E94="Cancelled","",IF(J94&lt;&gt;"",J94-H94,IF(AND(E94&lt;&gt;"Completed",TODAY()&gt;H94),TODAY()-H94,0)))</f>
        <v>0</v>
      </c>
      <c r="L94" s="51" t="str">
        <f aca="false">IF(E94="Cancelled","Gray",IF(E94="On Hold","Red",IF(E94="Completed",IF(K94&gt;5,"Red",IF(K94&gt;0,"Amber","Green")),IF(K94&gt;5,"Red",IF(K94&gt;0,"Amber","Green")))))</f>
        <v>Green</v>
      </c>
      <c r="M94" s="50" t="s">
        <v>90</v>
      </c>
      <c r="N94" s="50"/>
      <c r="O94" s="34" t="str">
        <f aca="false">$O$93</f>
        <v>RPA-014</v>
      </c>
      <c r="P94" s="34"/>
      <c r="Q94" s="51"/>
      <c r="R94" s="34" t="s">
        <v>87</v>
      </c>
      <c r="S94" s="50"/>
      <c r="T94" s="50"/>
      <c r="U94" s="51" t="str">
        <f aca="false">$U$93</f>
        <v>Medium</v>
      </c>
      <c r="V94" s="51" t="str">
        <f aca="false">IF($V$93="","",$V$93)</f>
        <v/>
      </c>
      <c r="W94" s="34" t="str">
        <f aca="false">IF($W$93="","",$W$93)</f>
        <v/>
      </c>
      <c r="X94" s="52" t="n">
        <v>46233.4534722222</v>
      </c>
      <c r="Y94" s="51" t="str">
        <f aca="false">IF($Y$93="","",$Y$93)</f>
        <v>Project Manager</v>
      </c>
    </row>
    <row r="95" customFormat="false" ht="15.75" hidden="false" customHeight="true" outlineLevel="0" collapsed="false">
      <c r="A95" s="51"/>
      <c r="B95" s="51" t="s">
        <v>24</v>
      </c>
      <c r="C95" s="51" t="str">
        <f aca="false">C93</f>
        <v>MEDIUM</v>
      </c>
      <c r="D95" s="51" t="str">
        <f aca="false">D93</f>
        <v>Developer 3</v>
      </c>
      <c r="E95" s="34" t="s">
        <v>9</v>
      </c>
      <c r="F95" s="53" t="n">
        <f aca="false">IF(E95="Completed",100%,IF(OR(E95="In Progress",E95="On Hold"),50%,0%))</f>
        <v>0</v>
      </c>
      <c r="G95" s="49" t="n">
        <f aca="false">H94+1+2*INT((WEEKDAY(H94,1)-1+1)/5)</f>
        <v>46310</v>
      </c>
      <c r="H95" s="49" t="n">
        <f aca="false">G95+(Settings!$B$6)-1+2*INT((WEEKDAY(G95,1)-1+(Settings!$B$6)-1)/5)</f>
        <v>46316</v>
      </c>
      <c r="I95" s="49"/>
      <c r="J95" s="49"/>
      <c r="K95" s="51" t="n">
        <f aca="true">IF(E95="Cancelled","",IF(J95&lt;&gt;"",J95-H95,IF(AND(E95&lt;&gt;"Completed",TODAY()&gt;H95),TODAY()-H95,0)))</f>
        <v>0</v>
      </c>
      <c r="L95" s="51" t="str">
        <f aca="false">IF(E95="Cancelled","Gray",IF(E95="On Hold","Red",IF(E95="Completed",IF(K95&gt;5,"Red",IF(K95&gt;0,"Amber","Green")),IF(K95&gt;5,"Red",IF(K95&gt;0,"Amber","Green")))))</f>
        <v>Green</v>
      </c>
      <c r="M95" s="50" t="s">
        <v>90</v>
      </c>
      <c r="N95" s="50"/>
      <c r="O95" s="34" t="str">
        <f aca="false">$O$93</f>
        <v>RPA-014</v>
      </c>
      <c r="P95" s="34"/>
      <c r="Q95" s="51"/>
      <c r="R95" s="34" t="s">
        <v>87</v>
      </c>
      <c r="S95" s="50"/>
      <c r="T95" s="50"/>
      <c r="U95" s="51" t="str">
        <f aca="false">$U$93</f>
        <v>Medium</v>
      </c>
      <c r="V95" s="51" t="str">
        <f aca="false">IF($V$93="","",$V$93)</f>
        <v/>
      </c>
      <c r="W95" s="34" t="str">
        <f aca="false">IF($W$93="","",$W$93)</f>
        <v/>
      </c>
      <c r="X95" s="52" t="n">
        <v>46233.4534722222</v>
      </c>
      <c r="Y95" s="51" t="str">
        <f aca="false">IF($Y$93="","",$Y$93)</f>
        <v>Project Manager</v>
      </c>
    </row>
    <row r="96" customFormat="false" ht="15.75" hidden="false" customHeight="true" outlineLevel="0" collapsed="false">
      <c r="A96" s="51"/>
      <c r="B96" s="51" t="s">
        <v>26</v>
      </c>
      <c r="C96" s="51" t="str">
        <f aca="false">C93</f>
        <v>MEDIUM</v>
      </c>
      <c r="D96" s="51" t="str">
        <f aca="false">D93</f>
        <v>Developer 3</v>
      </c>
      <c r="E96" s="34" t="s">
        <v>9</v>
      </c>
      <c r="F96" s="53" t="n">
        <f aca="false">IF(E96="Completed",100%,IF(OR(E96="In Progress",E96="On Hold"),50%,0%))</f>
        <v>0</v>
      </c>
      <c r="G96" s="49" t="n">
        <f aca="false">H95+1+2*INT((WEEKDAY(H95,1)-1+1)/5)</f>
        <v>46317</v>
      </c>
      <c r="H96" s="49" t="n">
        <f aca="false">G96+(Settings!$B$7)-1+2*INT((WEEKDAY(G96,1)-1+(Settings!$B$7)-1)/5)</f>
        <v>46317</v>
      </c>
      <c r="I96" s="49"/>
      <c r="J96" s="49"/>
      <c r="K96" s="51" t="n">
        <f aca="true">IF(E96="Cancelled","",IF(J96&lt;&gt;"",J96-H96,IF(AND(E96&lt;&gt;"Completed",TODAY()&gt;H96),TODAY()-H96,0)))</f>
        <v>0</v>
      </c>
      <c r="L96" s="51" t="str">
        <f aca="false">IF(E96="Cancelled","Gray",IF(E96="On Hold","Red",IF(E96="Completed",IF(K96&gt;5,"Red",IF(K96&gt;0,"Amber","Green")),IF(K96&gt;5,"Red",IF(K96&gt;0,"Amber","Green")))))</f>
        <v>Green</v>
      </c>
      <c r="M96" s="50" t="s">
        <v>91</v>
      </c>
      <c r="N96" s="50"/>
      <c r="O96" s="34" t="str">
        <f aca="false">$O$93</f>
        <v>RPA-014</v>
      </c>
      <c r="P96" s="34"/>
      <c r="Q96" s="51"/>
      <c r="R96" s="34" t="s">
        <v>87</v>
      </c>
      <c r="S96" s="50"/>
      <c r="T96" s="50"/>
      <c r="U96" s="51" t="str">
        <f aca="false">$U$93</f>
        <v>Medium</v>
      </c>
      <c r="V96" s="51" t="str">
        <f aca="false">IF($V$93="","",$V$93)</f>
        <v/>
      </c>
      <c r="W96" s="34" t="str">
        <f aca="false">IF($W$93="","",$W$93)</f>
        <v/>
      </c>
      <c r="X96" s="52" t="n">
        <v>46233.4534722222</v>
      </c>
      <c r="Y96" s="51" t="str">
        <f aca="false">IF($Y$93="","",$Y$93)</f>
        <v>Project Manager</v>
      </c>
    </row>
    <row r="97" customFormat="false" ht="15.75" hidden="false" customHeight="true" outlineLevel="0" collapsed="false">
      <c r="A97" s="51"/>
      <c r="B97" s="51" t="s">
        <v>28</v>
      </c>
      <c r="C97" s="51" t="str">
        <f aca="false">C93</f>
        <v>MEDIUM</v>
      </c>
      <c r="D97" s="51" t="str">
        <f aca="false">D93</f>
        <v>Developer 3</v>
      </c>
      <c r="E97" s="34" t="s">
        <v>9</v>
      </c>
      <c r="F97" s="53" t="n">
        <f aca="false">IF(E97="Completed",100%,IF(OR(E97="In Progress",E97="On Hold"),50%,0%))</f>
        <v>0</v>
      </c>
      <c r="G97" s="49" t="n">
        <f aca="false">H96+1+2*INT((WEEKDAY(H96,1)-1+1)/5)</f>
        <v>46320</v>
      </c>
      <c r="H97" s="49" t="n">
        <f aca="false">G97+(IF(C97="LOW",Settings!$B$8,IF(C97="MEDIUM",Settings!$B$9,Settings!$B$10)))-1+2*INT((WEEKDAY(G97,1)-1+(IF(C97="LOW",Settings!$B$8,IF(C97="MEDIUM",Settings!$B$9,Settings!$B$10)))-1)/5)</f>
        <v>46338</v>
      </c>
      <c r="I97" s="49"/>
      <c r="J97" s="49"/>
      <c r="K97" s="51" t="n">
        <f aca="true">IF(E97="Cancelled","",IF(J97&lt;&gt;"",J97-H97,IF(AND(E97&lt;&gt;"Completed",TODAY()&gt;H97),TODAY()-H97,0)))</f>
        <v>0</v>
      </c>
      <c r="L97" s="51" t="str">
        <f aca="false">IF(E97="Cancelled","Gray",IF(E97="On Hold","Red",IF(E97="Completed",IF(K97&gt;5,"Red",IF(K97&gt;0,"Amber","Green")),IF(K97&gt;5,"Red",IF(K97&gt;0,"Amber","Green")))))</f>
        <v>Green</v>
      </c>
      <c r="M97" s="50" t="s">
        <v>92</v>
      </c>
      <c r="N97" s="50"/>
      <c r="O97" s="34" t="str">
        <f aca="false">$O$93</f>
        <v>RPA-014</v>
      </c>
      <c r="P97" s="34"/>
      <c r="Q97" s="51"/>
      <c r="R97" s="34" t="s">
        <v>87</v>
      </c>
      <c r="S97" s="50"/>
      <c r="T97" s="50"/>
      <c r="U97" s="51" t="str">
        <f aca="false">$U$93</f>
        <v>Medium</v>
      </c>
      <c r="V97" s="51" t="str">
        <f aca="false">IF($V$93="","",$V$93)</f>
        <v/>
      </c>
      <c r="W97" s="34" t="str">
        <f aca="false">IF($W$93="","",$W$93)</f>
        <v/>
      </c>
      <c r="X97" s="52" t="n">
        <v>46233.4534722222</v>
      </c>
      <c r="Y97" s="51" t="str">
        <f aca="false">IF($Y$93="","",$Y$93)</f>
        <v>Project Manager</v>
      </c>
    </row>
    <row r="98" customFormat="false" ht="15.75" hidden="false" customHeight="true" outlineLevel="0" collapsed="false">
      <c r="A98" s="51"/>
      <c r="B98" s="51" t="s">
        <v>30</v>
      </c>
      <c r="C98" s="51" t="str">
        <f aca="false">C93</f>
        <v>MEDIUM</v>
      </c>
      <c r="D98" s="51" t="str">
        <f aca="false">D93</f>
        <v>Developer 3</v>
      </c>
      <c r="E98" s="34" t="s">
        <v>9</v>
      </c>
      <c r="F98" s="53" t="n">
        <f aca="false">IF(E98="Completed",100%,IF(OR(E98="In Progress",E98="On Hold"),50%,0%))</f>
        <v>0</v>
      </c>
      <c r="G98" s="49" t="n">
        <f aca="false">H97+1+2*INT((WEEKDAY(H97,1)-1+1)/5)</f>
        <v>46341</v>
      </c>
      <c r="H98" s="49" t="n">
        <f aca="false">G98+(Settings!$B$11)-1+2*INT((WEEKDAY(G98,1)-1+(Settings!$B$11)-1)/5)</f>
        <v>46342</v>
      </c>
      <c r="I98" s="49"/>
      <c r="J98" s="49"/>
      <c r="K98" s="51" t="n">
        <f aca="true">IF(E98="Cancelled","",IF(J98&lt;&gt;"",J98-H98,IF(AND(E98&lt;&gt;"Completed",TODAY()&gt;H98),TODAY()-H98,0)))</f>
        <v>0</v>
      </c>
      <c r="L98" s="51" t="str">
        <f aca="false">IF(E98="Cancelled","Gray",IF(E98="On Hold","Red",IF(E98="Completed",IF(K98&gt;5,"Red",IF(K98&gt;0,"Amber","Green")),IF(K98&gt;5,"Red",IF(K98&gt;0,"Amber","Green")))))</f>
        <v>Green</v>
      </c>
      <c r="M98" s="50" t="s">
        <v>93</v>
      </c>
      <c r="N98" s="50"/>
      <c r="O98" s="34" t="str">
        <f aca="false">$O$93</f>
        <v>RPA-014</v>
      </c>
      <c r="P98" s="34"/>
      <c r="Q98" s="51"/>
      <c r="R98" s="34" t="s">
        <v>87</v>
      </c>
      <c r="S98" s="50"/>
      <c r="T98" s="50"/>
      <c r="U98" s="51" t="str">
        <f aca="false">$U$93</f>
        <v>Medium</v>
      </c>
      <c r="V98" s="51" t="str">
        <f aca="false">IF($V$93="","",$V$93)</f>
        <v/>
      </c>
      <c r="W98" s="34" t="str">
        <f aca="false">IF($W$93="","",$W$93)</f>
        <v/>
      </c>
      <c r="X98" s="52" t="n">
        <v>46233.4534722222</v>
      </c>
      <c r="Y98" s="51" t="str">
        <f aca="false">IF($Y$93="","",$Y$93)</f>
        <v>Project Manager</v>
      </c>
    </row>
    <row r="99" customFormat="false" ht="15.75" hidden="false" customHeight="true" outlineLevel="0" collapsed="false">
      <c r="A99" s="51"/>
      <c r="B99" s="51" t="s">
        <v>31</v>
      </c>
      <c r="C99" s="51" t="str">
        <f aca="false">C93</f>
        <v>MEDIUM</v>
      </c>
      <c r="D99" s="51" t="str">
        <f aca="false">D93</f>
        <v>Developer 3</v>
      </c>
      <c r="E99" s="34" t="s">
        <v>9</v>
      </c>
      <c r="F99" s="53" t="n">
        <f aca="false">IF(E99="Completed",100%,IF(OR(E99="In Progress",E99="On Hold"),50%,0%))</f>
        <v>0</v>
      </c>
      <c r="G99" s="49" t="n">
        <f aca="false">H98+1+2*INT((WEEKDAY(H98,1)-1+1)/5)</f>
        <v>46343</v>
      </c>
      <c r="H99" s="49" t="n">
        <f aca="false">G99+(Settings!$B$12)-1+2*INT((WEEKDAY(G99,1)-1+(Settings!$B$12)-1)/5)</f>
        <v>46343</v>
      </c>
      <c r="I99" s="49"/>
      <c r="J99" s="49"/>
      <c r="K99" s="51" t="n">
        <f aca="true">IF(E99="Cancelled","",IF(J99&lt;&gt;"",J99-H99,IF(AND(E99&lt;&gt;"Completed",TODAY()&gt;H99),TODAY()-H99,0)))</f>
        <v>0</v>
      </c>
      <c r="L99" s="51" t="str">
        <f aca="false">IF(E99="Cancelled","Gray",IF(E99="On Hold","Red",IF(E99="Completed",IF(K99&gt;5,"Red",IF(K99&gt;0,"Amber","Green")),IF(K99&gt;5,"Red",IF(K99&gt;0,"Amber","Green")))))</f>
        <v>Green</v>
      </c>
      <c r="M99" s="50" t="s">
        <v>92</v>
      </c>
      <c r="N99" s="50"/>
      <c r="O99" s="34" t="str">
        <f aca="false">$O$93</f>
        <v>RPA-014</v>
      </c>
      <c r="P99" s="34"/>
      <c r="Q99" s="51"/>
      <c r="R99" s="34" t="s">
        <v>87</v>
      </c>
      <c r="S99" s="50"/>
      <c r="T99" s="50"/>
      <c r="U99" s="51" t="str">
        <f aca="false">$U$93</f>
        <v>Medium</v>
      </c>
      <c r="V99" s="51" t="str">
        <f aca="false">IF($V$93="","",$V$93)</f>
        <v/>
      </c>
      <c r="W99" s="34" t="str">
        <f aca="false">IF($W$93="","",$W$93)</f>
        <v/>
      </c>
      <c r="X99" s="52" t="n">
        <v>46233.4534722222</v>
      </c>
      <c r="Y99" s="51" t="str">
        <f aca="false">IF($Y$93="","",$Y$93)</f>
        <v>Project Manager</v>
      </c>
    </row>
    <row r="100" customFormat="false" ht="15" hidden="false" customHeight="false" outlineLevel="0" collapsed="false">
      <c r="A100" s="41" t="s">
        <v>84</v>
      </c>
      <c r="B100" s="41" t="s">
        <v>85</v>
      </c>
      <c r="C100" s="41" t="str">
        <f aca="false">'Process Summary'!B18</f>
        <v>MEDIUM</v>
      </c>
      <c r="D100" s="41" t="str">
        <f aca="false">'Process Summary'!C18</f>
        <v>Developer 4</v>
      </c>
      <c r="E100" s="41" t="str">
        <f aca="false">IF(F100=100%,"Completed",IF(E101="On Hold","On Hold",IF(E102="On Hold","On Hold",IF(E103="On Hold","On Hold",IF(E104="On Hold","On Hold",IF(E105="On Hold","On Hold",IF(E106="On Hold","On Hold",IF(F100&gt;0%,"In Progress","Not Started"))))))))</f>
        <v>Not Started</v>
      </c>
      <c r="F100" s="42" t="n">
        <f aca="false">(F101*3+F102*5+F103+F104*IF(C100="LOW",13,IF(C100="MEDIUM",23,33))+F105*2+F106)/(12+IF(C100="LOW",13,IF(C100="MEDIUM",23,33)))</f>
        <v>0</v>
      </c>
      <c r="G100" s="43" t="n">
        <f aca="false">'Process Summary'!G18</f>
        <v>46307</v>
      </c>
      <c r="H100" s="43" t="n">
        <f aca="false">H106</f>
        <v>46343</v>
      </c>
      <c r="I100" s="43" t="str">
        <f aca="false">IF(COUNT(I101:I106)=0,"",MIN(I101:I106))</f>
        <v/>
      </c>
      <c r="J100" s="43" t="str">
        <f aca="false">IF(COUNT(J101:J106)=0,"",MAX(J101:J106))</f>
        <v/>
      </c>
      <c r="K100" s="41" t="n">
        <f aca="true">IF(E100="Cancelled","",IF(J100&lt;&gt;"",J100-H100,IF(AND(E100&lt;&gt;"Completed",TODAY()&gt;H100),TODAY()-H100,0)))</f>
        <v>0</v>
      </c>
      <c r="L100" s="41" t="str">
        <f aca="false">IF(E100="Cancelled","Gray",IF(E100="On Hold","Red",IF(E100="Completed",IF(K100&gt;5,"Red",IF(K100&gt;0,"Amber","Green")),IF(K100&gt;5,"Red",IF(K100&gt;0,"Amber","Green")))))</f>
        <v>Green</v>
      </c>
      <c r="M100" s="44"/>
      <c r="N100" s="44"/>
      <c r="O100" s="41" t="s">
        <v>108</v>
      </c>
      <c r="P100" s="41"/>
      <c r="Q100" s="41"/>
      <c r="R100" s="41" t="s">
        <v>87</v>
      </c>
      <c r="S100" s="44"/>
      <c r="T100" s="44"/>
      <c r="U100" s="41" t="s">
        <v>88</v>
      </c>
      <c r="V100" s="41"/>
      <c r="W100" s="41"/>
      <c r="X100" s="45" t="n">
        <v>46233.4534722222</v>
      </c>
      <c r="Y100" s="41" t="s">
        <v>89</v>
      </c>
    </row>
    <row r="101" customFormat="false" ht="15.75" hidden="false" customHeight="true" outlineLevel="0" collapsed="false">
      <c r="A101" s="46"/>
      <c r="B101" s="46" t="s">
        <v>22</v>
      </c>
      <c r="C101" s="46" t="str">
        <f aca="false">C100</f>
        <v>MEDIUM</v>
      </c>
      <c r="D101" s="46" t="str">
        <f aca="false">D100</f>
        <v>Developer 4</v>
      </c>
      <c r="E101" s="34" t="s">
        <v>9</v>
      </c>
      <c r="F101" s="47" t="n">
        <f aca="false">IF(E101="Completed",100%,IF(OR(E101="In Progress",E101="On Hold"),50%,0%))</f>
        <v>0</v>
      </c>
      <c r="G101" s="48" t="n">
        <f aca="false">G100</f>
        <v>46307</v>
      </c>
      <c r="H101" s="48" t="n">
        <f aca="false">G101+(Settings!$B$5)-1+2*INT((WEEKDAY(G101,1)-1+(Settings!$B$5)-1)/5)</f>
        <v>46309</v>
      </c>
      <c r="I101" s="49"/>
      <c r="J101" s="49"/>
      <c r="K101" s="46" t="n">
        <f aca="true">IF(E101="Cancelled","",IF(J101&lt;&gt;"",J101-H101,IF(AND(E101&lt;&gt;"Completed",TODAY()&gt;H101),TODAY()-H101,0)))</f>
        <v>0</v>
      </c>
      <c r="L101" s="46" t="str">
        <f aca="false">IF(E101="Cancelled","Gray",IF(E101="On Hold","Red",IF(E101="Completed",IF(K101&gt;5,"Red",IF(K101&gt;0,"Amber","Green")),IF(K101&gt;5,"Red",IF(K101&gt;0,"Amber","Green")))))</f>
        <v>Green</v>
      </c>
      <c r="M101" s="50" t="s">
        <v>90</v>
      </c>
      <c r="N101" s="50"/>
      <c r="O101" s="34" t="str">
        <f aca="false">$O$100</f>
        <v>RPA-015</v>
      </c>
      <c r="P101" s="34"/>
      <c r="Q101" s="51"/>
      <c r="R101" s="34" t="s">
        <v>87</v>
      </c>
      <c r="S101" s="50"/>
      <c r="T101" s="50"/>
      <c r="U101" s="51" t="str">
        <f aca="false">$U$100</f>
        <v>Medium</v>
      </c>
      <c r="V101" s="51" t="str">
        <f aca="false">IF($V$100="","",$V$100)</f>
        <v/>
      </c>
      <c r="W101" s="34" t="str">
        <f aca="false">IF($W$100="","",$W$100)</f>
        <v/>
      </c>
      <c r="X101" s="52" t="n">
        <v>46233.4534722222</v>
      </c>
      <c r="Y101" s="51" t="str">
        <f aca="false">IF($Y$100="","",$Y$100)</f>
        <v>Project Manager</v>
      </c>
    </row>
    <row r="102" customFormat="false" ht="15.75" hidden="false" customHeight="true" outlineLevel="0" collapsed="false">
      <c r="A102" s="46"/>
      <c r="B102" s="46" t="s">
        <v>24</v>
      </c>
      <c r="C102" s="46" t="str">
        <f aca="false">C100</f>
        <v>MEDIUM</v>
      </c>
      <c r="D102" s="46" t="str">
        <f aca="false">D100</f>
        <v>Developer 4</v>
      </c>
      <c r="E102" s="34" t="s">
        <v>9</v>
      </c>
      <c r="F102" s="47" t="n">
        <f aca="false">IF(E102="Completed",100%,IF(OR(E102="In Progress",E102="On Hold"),50%,0%))</f>
        <v>0</v>
      </c>
      <c r="G102" s="48" t="n">
        <f aca="false">H101+1+2*INT((WEEKDAY(H101,1)-1+1)/5)</f>
        <v>46310</v>
      </c>
      <c r="H102" s="48" t="n">
        <f aca="false">G102+(Settings!$B$6)-1+2*INT((WEEKDAY(G102,1)-1+(Settings!$B$6)-1)/5)</f>
        <v>46316</v>
      </c>
      <c r="I102" s="49"/>
      <c r="J102" s="49"/>
      <c r="K102" s="46" t="n">
        <f aca="true">IF(E102="Cancelled","",IF(J102&lt;&gt;"",J102-H102,IF(AND(E102&lt;&gt;"Completed",TODAY()&gt;H102),TODAY()-H102,0)))</f>
        <v>0</v>
      </c>
      <c r="L102" s="46" t="str">
        <f aca="false">IF(E102="Cancelled","Gray",IF(E102="On Hold","Red",IF(E102="Completed",IF(K102&gt;5,"Red",IF(K102&gt;0,"Amber","Green")),IF(K102&gt;5,"Red",IF(K102&gt;0,"Amber","Green")))))</f>
        <v>Green</v>
      </c>
      <c r="M102" s="50" t="s">
        <v>90</v>
      </c>
      <c r="N102" s="50"/>
      <c r="O102" s="34" t="str">
        <f aca="false">$O$100</f>
        <v>RPA-015</v>
      </c>
      <c r="P102" s="34"/>
      <c r="Q102" s="51"/>
      <c r="R102" s="34" t="s">
        <v>87</v>
      </c>
      <c r="S102" s="50"/>
      <c r="T102" s="50"/>
      <c r="U102" s="51" t="str">
        <f aca="false">$U$100</f>
        <v>Medium</v>
      </c>
      <c r="V102" s="51" t="str">
        <f aca="false">IF($V$100="","",$V$100)</f>
        <v/>
      </c>
      <c r="W102" s="34" t="str">
        <f aca="false">IF($W$100="","",$W$100)</f>
        <v/>
      </c>
      <c r="X102" s="52" t="n">
        <v>46233.4534722222</v>
      </c>
      <c r="Y102" s="51" t="str">
        <f aca="false">IF($Y$100="","",$Y$100)</f>
        <v>Project Manager</v>
      </c>
    </row>
    <row r="103" customFormat="false" ht="15.75" hidden="false" customHeight="true" outlineLevel="0" collapsed="false">
      <c r="A103" s="46"/>
      <c r="B103" s="46" t="s">
        <v>26</v>
      </c>
      <c r="C103" s="46" t="str">
        <f aca="false">C100</f>
        <v>MEDIUM</v>
      </c>
      <c r="D103" s="46" t="str">
        <f aca="false">D100</f>
        <v>Developer 4</v>
      </c>
      <c r="E103" s="34" t="s">
        <v>9</v>
      </c>
      <c r="F103" s="47" t="n">
        <f aca="false">IF(E103="Completed",100%,IF(OR(E103="In Progress",E103="On Hold"),50%,0%))</f>
        <v>0</v>
      </c>
      <c r="G103" s="48" t="n">
        <f aca="false">H102+1+2*INT((WEEKDAY(H102,1)-1+1)/5)</f>
        <v>46317</v>
      </c>
      <c r="H103" s="48" t="n">
        <f aca="false">G103+(Settings!$B$7)-1+2*INT((WEEKDAY(G103,1)-1+(Settings!$B$7)-1)/5)</f>
        <v>46317</v>
      </c>
      <c r="I103" s="49"/>
      <c r="J103" s="49"/>
      <c r="K103" s="46" t="n">
        <f aca="true">IF(E103="Cancelled","",IF(J103&lt;&gt;"",J103-H103,IF(AND(E103&lt;&gt;"Completed",TODAY()&gt;H103),TODAY()-H103,0)))</f>
        <v>0</v>
      </c>
      <c r="L103" s="46" t="str">
        <f aca="false">IF(E103="Cancelled","Gray",IF(E103="On Hold","Red",IF(E103="Completed",IF(K103&gt;5,"Red",IF(K103&gt;0,"Amber","Green")),IF(K103&gt;5,"Red",IF(K103&gt;0,"Amber","Green")))))</f>
        <v>Green</v>
      </c>
      <c r="M103" s="50" t="s">
        <v>91</v>
      </c>
      <c r="N103" s="50"/>
      <c r="O103" s="34" t="str">
        <f aca="false">$O$100</f>
        <v>RPA-015</v>
      </c>
      <c r="P103" s="34"/>
      <c r="Q103" s="51"/>
      <c r="R103" s="34" t="s">
        <v>87</v>
      </c>
      <c r="S103" s="50"/>
      <c r="T103" s="50"/>
      <c r="U103" s="51" t="str">
        <f aca="false">$U$100</f>
        <v>Medium</v>
      </c>
      <c r="V103" s="51" t="str">
        <f aca="false">IF($V$100="","",$V$100)</f>
        <v/>
      </c>
      <c r="W103" s="34" t="str">
        <f aca="false">IF($W$100="","",$W$100)</f>
        <v/>
      </c>
      <c r="X103" s="52" t="n">
        <v>46233.4534722222</v>
      </c>
      <c r="Y103" s="51" t="str">
        <f aca="false">IF($Y$100="","",$Y$100)</f>
        <v>Project Manager</v>
      </c>
    </row>
    <row r="104" customFormat="false" ht="15.75" hidden="false" customHeight="true" outlineLevel="0" collapsed="false">
      <c r="A104" s="46"/>
      <c r="B104" s="46" t="s">
        <v>28</v>
      </c>
      <c r="C104" s="46" t="str">
        <f aca="false">C100</f>
        <v>MEDIUM</v>
      </c>
      <c r="D104" s="46" t="str">
        <f aca="false">D100</f>
        <v>Developer 4</v>
      </c>
      <c r="E104" s="34" t="s">
        <v>9</v>
      </c>
      <c r="F104" s="47" t="n">
        <f aca="false">IF(E104="Completed",100%,IF(OR(E104="In Progress",E104="On Hold"),50%,0%))</f>
        <v>0</v>
      </c>
      <c r="G104" s="48" t="n">
        <f aca="false">H103+1+2*INT((WEEKDAY(H103,1)-1+1)/5)</f>
        <v>46320</v>
      </c>
      <c r="H104" s="48" t="n">
        <f aca="false">G104+(IF(C104="LOW",Settings!$B$8,IF(C104="MEDIUM",Settings!$B$9,Settings!$B$10)))-1+2*INT((WEEKDAY(G104,1)-1+(IF(C104="LOW",Settings!$B$8,IF(C104="MEDIUM",Settings!$B$9,Settings!$B$10)))-1)/5)</f>
        <v>46338</v>
      </c>
      <c r="I104" s="49"/>
      <c r="J104" s="49"/>
      <c r="K104" s="46" t="n">
        <f aca="true">IF(E104="Cancelled","",IF(J104&lt;&gt;"",J104-H104,IF(AND(E104&lt;&gt;"Completed",TODAY()&gt;H104),TODAY()-H104,0)))</f>
        <v>0</v>
      </c>
      <c r="L104" s="46" t="str">
        <f aca="false">IF(E104="Cancelled","Gray",IF(E104="On Hold","Red",IF(E104="Completed",IF(K104&gt;5,"Red",IF(K104&gt;0,"Amber","Green")),IF(K104&gt;5,"Red",IF(K104&gt;0,"Amber","Green")))))</f>
        <v>Green</v>
      </c>
      <c r="M104" s="50" t="s">
        <v>92</v>
      </c>
      <c r="N104" s="50"/>
      <c r="O104" s="34" t="str">
        <f aca="false">$O$100</f>
        <v>RPA-015</v>
      </c>
      <c r="P104" s="34"/>
      <c r="Q104" s="51"/>
      <c r="R104" s="34" t="s">
        <v>87</v>
      </c>
      <c r="S104" s="50"/>
      <c r="T104" s="50"/>
      <c r="U104" s="51" t="str">
        <f aca="false">$U$100</f>
        <v>Medium</v>
      </c>
      <c r="V104" s="51" t="str">
        <f aca="false">IF($V$100="","",$V$100)</f>
        <v/>
      </c>
      <c r="W104" s="34" t="str">
        <f aca="false">IF($W$100="","",$W$100)</f>
        <v/>
      </c>
      <c r="X104" s="52" t="n">
        <v>46233.4534722222</v>
      </c>
      <c r="Y104" s="51" t="str">
        <f aca="false">IF($Y$100="","",$Y$100)</f>
        <v>Project Manager</v>
      </c>
    </row>
    <row r="105" customFormat="false" ht="15.75" hidden="false" customHeight="true" outlineLevel="0" collapsed="false">
      <c r="A105" s="46"/>
      <c r="B105" s="46" t="s">
        <v>30</v>
      </c>
      <c r="C105" s="46" t="str">
        <f aca="false">C100</f>
        <v>MEDIUM</v>
      </c>
      <c r="D105" s="46" t="str">
        <f aca="false">D100</f>
        <v>Developer 4</v>
      </c>
      <c r="E105" s="34" t="s">
        <v>9</v>
      </c>
      <c r="F105" s="47" t="n">
        <f aca="false">IF(E105="Completed",100%,IF(OR(E105="In Progress",E105="On Hold"),50%,0%))</f>
        <v>0</v>
      </c>
      <c r="G105" s="48" t="n">
        <f aca="false">H104+1+2*INT((WEEKDAY(H104,1)-1+1)/5)</f>
        <v>46341</v>
      </c>
      <c r="H105" s="48" t="n">
        <f aca="false">G105+(Settings!$B$11)-1+2*INT((WEEKDAY(G105,1)-1+(Settings!$B$11)-1)/5)</f>
        <v>46342</v>
      </c>
      <c r="I105" s="49"/>
      <c r="J105" s="49"/>
      <c r="K105" s="46" t="n">
        <f aca="true">IF(E105="Cancelled","",IF(J105&lt;&gt;"",J105-H105,IF(AND(E105&lt;&gt;"Completed",TODAY()&gt;H105),TODAY()-H105,0)))</f>
        <v>0</v>
      </c>
      <c r="L105" s="46" t="str">
        <f aca="false">IF(E105="Cancelled","Gray",IF(E105="On Hold","Red",IF(E105="Completed",IF(K105&gt;5,"Red",IF(K105&gt;0,"Amber","Green")),IF(K105&gt;5,"Red",IF(K105&gt;0,"Amber","Green")))))</f>
        <v>Green</v>
      </c>
      <c r="M105" s="50" t="s">
        <v>93</v>
      </c>
      <c r="N105" s="50"/>
      <c r="O105" s="34" t="str">
        <f aca="false">$O$100</f>
        <v>RPA-015</v>
      </c>
      <c r="P105" s="34"/>
      <c r="Q105" s="51"/>
      <c r="R105" s="34" t="s">
        <v>87</v>
      </c>
      <c r="S105" s="50"/>
      <c r="T105" s="50"/>
      <c r="U105" s="51" t="str">
        <f aca="false">$U$100</f>
        <v>Medium</v>
      </c>
      <c r="V105" s="51" t="str">
        <f aca="false">IF($V$100="","",$V$100)</f>
        <v/>
      </c>
      <c r="W105" s="34" t="str">
        <f aca="false">IF($W$100="","",$W$100)</f>
        <v/>
      </c>
      <c r="X105" s="52" t="n">
        <v>46233.4534722222</v>
      </c>
      <c r="Y105" s="51" t="str">
        <f aca="false">IF($Y$100="","",$Y$100)</f>
        <v>Project Manager</v>
      </c>
    </row>
    <row r="106" customFormat="false" ht="15.75" hidden="false" customHeight="true" outlineLevel="0" collapsed="false">
      <c r="A106" s="46"/>
      <c r="B106" s="46" t="s">
        <v>31</v>
      </c>
      <c r="C106" s="46" t="str">
        <f aca="false">C100</f>
        <v>MEDIUM</v>
      </c>
      <c r="D106" s="46" t="str">
        <f aca="false">D100</f>
        <v>Developer 4</v>
      </c>
      <c r="E106" s="34" t="s">
        <v>9</v>
      </c>
      <c r="F106" s="47" t="n">
        <f aca="false">IF(E106="Completed",100%,IF(OR(E106="In Progress",E106="On Hold"),50%,0%))</f>
        <v>0</v>
      </c>
      <c r="G106" s="48" t="n">
        <f aca="false">H105+1+2*INT((WEEKDAY(H105,1)-1+1)/5)</f>
        <v>46343</v>
      </c>
      <c r="H106" s="48" t="n">
        <f aca="false">G106+(Settings!$B$12)-1+2*INT((WEEKDAY(G106,1)-1+(Settings!$B$12)-1)/5)</f>
        <v>46343</v>
      </c>
      <c r="I106" s="49"/>
      <c r="J106" s="49"/>
      <c r="K106" s="46" t="n">
        <f aca="true">IF(E106="Cancelled","",IF(J106&lt;&gt;"",J106-H106,IF(AND(E106&lt;&gt;"Completed",TODAY()&gt;H106),TODAY()-H106,0)))</f>
        <v>0</v>
      </c>
      <c r="L106" s="46" t="str">
        <f aca="false">IF(E106="Cancelled","Gray",IF(E106="On Hold","Red",IF(E106="Completed",IF(K106&gt;5,"Red",IF(K106&gt;0,"Amber","Green")),IF(K106&gt;5,"Red",IF(K106&gt;0,"Amber","Green")))))</f>
        <v>Green</v>
      </c>
      <c r="M106" s="50" t="s">
        <v>92</v>
      </c>
      <c r="N106" s="50"/>
      <c r="O106" s="34" t="str">
        <f aca="false">$O$100</f>
        <v>RPA-015</v>
      </c>
      <c r="P106" s="34"/>
      <c r="Q106" s="51"/>
      <c r="R106" s="34" t="s">
        <v>87</v>
      </c>
      <c r="S106" s="50"/>
      <c r="T106" s="50"/>
      <c r="U106" s="51" t="str">
        <f aca="false">$U$100</f>
        <v>Medium</v>
      </c>
      <c r="V106" s="51" t="str">
        <f aca="false">IF($V$100="","",$V$100)</f>
        <v/>
      </c>
      <c r="W106" s="34" t="str">
        <f aca="false">IF($W$100="","",$W$100)</f>
        <v/>
      </c>
      <c r="X106" s="52" t="n">
        <v>46233.4534722222</v>
      </c>
      <c r="Y106" s="51" t="str">
        <f aca="false">IF($Y$100="","",$Y$100)</f>
        <v>Project Manager</v>
      </c>
    </row>
    <row r="107" customFormat="false" ht="15" hidden="false" customHeight="false" outlineLevel="0" collapsed="false">
      <c r="A107" s="41" t="s">
        <v>84</v>
      </c>
      <c r="B107" s="41" t="s">
        <v>85</v>
      </c>
      <c r="C107" s="41" t="str">
        <f aca="false">'Process Summary'!B19</f>
        <v>MEDIUM</v>
      </c>
      <c r="D107" s="41" t="str">
        <f aca="false">'Process Summary'!C19</f>
        <v>Developer 1</v>
      </c>
      <c r="E107" s="41" t="str">
        <f aca="false">IF(F107=100%,"Completed",IF(E108="On Hold","On Hold",IF(E109="On Hold","On Hold",IF(E110="On Hold","On Hold",IF(E111="On Hold","On Hold",IF(E112="On Hold","On Hold",IF(E113="On Hold","On Hold",IF(F107&gt;0%,"In Progress","Not Started"))))))))</f>
        <v>Not Started</v>
      </c>
      <c r="F107" s="42" t="n">
        <f aca="false">(F108*3+F109*5+F110+F111*IF(C107="LOW",13,IF(C107="MEDIUM",23,33))+F112*2+F113)/(12+IF(C107="LOW",13,IF(C107="MEDIUM",23,33)))</f>
        <v>0</v>
      </c>
      <c r="G107" s="43" t="n">
        <f aca="false">'Process Summary'!G19</f>
        <v>46307</v>
      </c>
      <c r="H107" s="43" t="n">
        <f aca="false">H113</f>
        <v>46343</v>
      </c>
      <c r="I107" s="43" t="str">
        <f aca="false">IF(COUNT(I108:I113)=0,"",MIN(I108:I113))</f>
        <v/>
      </c>
      <c r="J107" s="43" t="str">
        <f aca="false">IF(COUNT(J108:J113)=0,"",MAX(J108:J113))</f>
        <v/>
      </c>
      <c r="K107" s="41" t="n">
        <f aca="true">IF(E107="Cancelled","",IF(J107&lt;&gt;"",J107-H107,IF(AND(E107&lt;&gt;"Completed",TODAY()&gt;H107),TODAY()-H107,0)))</f>
        <v>0</v>
      </c>
      <c r="L107" s="41" t="str">
        <f aca="false">IF(E107="Cancelled","Gray",IF(E107="On Hold","Red",IF(E107="Completed",IF(K107&gt;5,"Red",IF(K107&gt;0,"Amber","Green")),IF(K107&gt;5,"Red",IF(K107&gt;0,"Amber","Green")))))</f>
        <v>Green</v>
      </c>
      <c r="M107" s="44"/>
      <c r="N107" s="44"/>
      <c r="O107" s="41" t="s">
        <v>109</v>
      </c>
      <c r="P107" s="41"/>
      <c r="Q107" s="41"/>
      <c r="R107" s="41" t="s">
        <v>87</v>
      </c>
      <c r="S107" s="44"/>
      <c r="T107" s="44"/>
      <c r="U107" s="41" t="s">
        <v>88</v>
      </c>
      <c r="V107" s="41"/>
      <c r="W107" s="41"/>
      <c r="X107" s="45" t="n">
        <v>46233.4534722222</v>
      </c>
      <c r="Y107" s="41" t="s">
        <v>89</v>
      </c>
    </row>
    <row r="108" customFormat="false" ht="15.75" hidden="false" customHeight="true" outlineLevel="0" collapsed="false">
      <c r="A108" s="51"/>
      <c r="B108" s="51" t="s">
        <v>22</v>
      </c>
      <c r="C108" s="51" t="str">
        <f aca="false">C107</f>
        <v>MEDIUM</v>
      </c>
      <c r="D108" s="51" t="str">
        <f aca="false">D107</f>
        <v>Developer 1</v>
      </c>
      <c r="E108" s="34" t="s">
        <v>9</v>
      </c>
      <c r="F108" s="53" t="n">
        <f aca="false">IF(E108="Completed",100%,IF(OR(E108="In Progress",E108="On Hold"),50%,0%))</f>
        <v>0</v>
      </c>
      <c r="G108" s="49" t="n">
        <f aca="false">G107</f>
        <v>46307</v>
      </c>
      <c r="H108" s="49" t="n">
        <f aca="false">G108+(Settings!$B$5)-1+2*INT((WEEKDAY(G108,1)-1+(Settings!$B$5)-1)/5)</f>
        <v>46309</v>
      </c>
      <c r="I108" s="49"/>
      <c r="J108" s="49"/>
      <c r="K108" s="51" t="n">
        <f aca="true">IF(E108="Cancelled","",IF(J108&lt;&gt;"",J108-H108,IF(AND(E108&lt;&gt;"Completed",TODAY()&gt;H108),TODAY()-H108,0)))</f>
        <v>0</v>
      </c>
      <c r="L108" s="51" t="str">
        <f aca="false">IF(E108="Cancelled","Gray",IF(E108="On Hold","Red",IF(E108="Completed",IF(K108&gt;5,"Red",IF(K108&gt;0,"Amber","Green")),IF(K108&gt;5,"Red",IF(K108&gt;0,"Amber","Green")))))</f>
        <v>Green</v>
      </c>
      <c r="M108" s="50" t="s">
        <v>90</v>
      </c>
      <c r="N108" s="50"/>
      <c r="O108" s="34" t="str">
        <f aca="false">$O$107</f>
        <v>RPA-016</v>
      </c>
      <c r="P108" s="34"/>
      <c r="Q108" s="51"/>
      <c r="R108" s="34" t="s">
        <v>87</v>
      </c>
      <c r="S108" s="50"/>
      <c r="T108" s="50"/>
      <c r="U108" s="51" t="str">
        <f aca="false">$U$107</f>
        <v>Medium</v>
      </c>
      <c r="V108" s="51" t="str">
        <f aca="false">IF($V$107="","",$V$107)</f>
        <v/>
      </c>
      <c r="W108" s="34" t="str">
        <f aca="false">IF($W$107="","",$W$107)</f>
        <v/>
      </c>
      <c r="X108" s="52" t="n">
        <v>46233.4534722222</v>
      </c>
      <c r="Y108" s="51" t="str">
        <f aca="false">IF($Y$107="","",$Y$107)</f>
        <v>Project Manager</v>
      </c>
    </row>
    <row r="109" customFormat="false" ht="15.75" hidden="false" customHeight="true" outlineLevel="0" collapsed="false">
      <c r="A109" s="51"/>
      <c r="B109" s="51" t="s">
        <v>24</v>
      </c>
      <c r="C109" s="51" t="str">
        <f aca="false">C107</f>
        <v>MEDIUM</v>
      </c>
      <c r="D109" s="51" t="str">
        <f aca="false">D107</f>
        <v>Developer 1</v>
      </c>
      <c r="E109" s="34" t="s">
        <v>9</v>
      </c>
      <c r="F109" s="53" t="n">
        <f aca="false">IF(E109="Completed",100%,IF(OR(E109="In Progress",E109="On Hold"),50%,0%))</f>
        <v>0</v>
      </c>
      <c r="G109" s="49" t="n">
        <f aca="false">H108+1+2*INT((WEEKDAY(H108,1)-1+1)/5)</f>
        <v>46310</v>
      </c>
      <c r="H109" s="49" t="n">
        <f aca="false">G109+(Settings!$B$6)-1+2*INT((WEEKDAY(G109,1)-1+(Settings!$B$6)-1)/5)</f>
        <v>46316</v>
      </c>
      <c r="I109" s="49"/>
      <c r="J109" s="49"/>
      <c r="K109" s="51" t="n">
        <f aca="true">IF(E109="Cancelled","",IF(J109&lt;&gt;"",J109-H109,IF(AND(E109&lt;&gt;"Completed",TODAY()&gt;H109),TODAY()-H109,0)))</f>
        <v>0</v>
      </c>
      <c r="L109" s="51" t="str">
        <f aca="false">IF(E109="Cancelled","Gray",IF(E109="On Hold","Red",IF(E109="Completed",IF(K109&gt;5,"Red",IF(K109&gt;0,"Amber","Green")),IF(K109&gt;5,"Red",IF(K109&gt;0,"Amber","Green")))))</f>
        <v>Green</v>
      </c>
      <c r="M109" s="50" t="s">
        <v>90</v>
      </c>
      <c r="N109" s="50"/>
      <c r="O109" s="34" t="str">
        <f aca="false">$O$107</f>
        <v>RPA-016</v>
      </c>
      <c r="P109" s="34"/>
      <c r="Q109" s="51"/>
      <c r="R109" s="34" t="s">
        <v>87</v>
      </c>
      <c r="S109" s="50"/>
      <c r="T109" s="50"/>
      <c r="U109" s="51" t="str">
        <f aca="false">$U$107</f>
        <v>Medium</v>
      </c>
      <c r="V109" s="51" t="str">
        <f aca="false">IF($V$107="","",$V$107)</f>
        <v/>
      </c>
      <c r="W109" s="34" t="str">
        <f aca="false">IF($W$107="","",$W$107)</f>
        <v/>
      </c>
      <c r="X109" s="52" t="n">
        <v>46233.4534722222</v>
      </c>
      <c r="Y109" s="51" t="str">
        <f aca="false">IF($Y$107="","",$Y$107)</f>
        <v>Project Manager</v>
      </c>
    </row>
    <row r="110" customFormat="false" ht="15.75" hidden="false" customHeight="true" outlineLevel="0" collapsed="false">
      <c r="A110" s="51"/>
      <c r="B110" s="51" t="s">
        <v>26</v>
      </c>
      <c r="C110" s="51" t="str">
        <f aca="false">C107</f>
        <v>MEDIUM</v>
      </c>
      <c r="D110" s="51" t="str">
        <f aca="false">D107</f>
        <v>Developer 1</v>
      </c>
      <c r="E110" s="34" t="s">
        <v>9</v>
      </c>
      <c r="F110" s="53" t="n">
        <f aca="false">IF(E110="Completed",100%,IF(OR(E110="In Progress",E110="On Hold"),50%,0%))</f>
        <v>0</v>
      </c>
      <c r="G110" s="49" t="n">
        <f aca="false">H109+1+2*INT((WEEKDAY(H109,1)-1+1)/5)</f>
        <v>46317</v>
      </c>
      <c r="H110" s="49" t="n">
        <f aca="false">G110+(Settings!$B$7)-1+2*INT((WEEKDAY(G110,1)-1+(Settings!$B$7)-1)/5)</f>
        <v>46317</v>
      </c>
      <c r="I110" s="49"/>
      <c r="J110" s="49"/>
      <c r="K110" s="51" t="n">
        <f aca="true">IF(E110="Cancelled","",IF(J110&lt;&gt;"",J110-H110,IF(AND(E110&lt;&gt;"Completed",TODAY()&gt;H110),TODAY()-H110,0)))</f>
        <v>0</v>
      </c>
      <c r="L110" s="51" t="str">
        <f aca="false">IF(E110="Cancelled","Gray",IF(E110="On Hold","Red",IF(E110="Completed",IF(K110&gt;5,"Red",IF(K110&gt;0,"Amber","Green")),IF(K110&gt;5,"Red",IF(K110&gt;0,"Amber","Green")))))</f>
        <v>Green</v>
      </c>
      <c r="M110" s="50" t="s">
        <v>91</v>
      </c>
      <c r="N110" s="50"/>
      <c r="O110" s="34" t="str">
        <f aca="false">$O$107</f>
        <v>RPA-016</v>
      </c>
      <c r="P110" s="34"/>
      <c r="Q110" s="51"/>
      <c r="R110" s="34" t="s">
        <v>87</v>
      </c>
      <c r="S110" s="50"/>
      <c r="T110" s="50"/>
      <c r="U110" s="51" t="str">
        <f aca="false">$U$107</f>
        <v>Medium</v>
      </c>
      <c r="V110" s="51" t="str">
        <f aca="false">IF($V$107="","",$V$107)</f>
        <v/>
      </c>
      <c r="W110" s="34" t="str">
        <f aca="false">IF($W$107="","",$W$107)</f>
        <v/>
      </c>
      <c r="X110" s="52" t="n">
        <v>46233.4534722222</v>
      </c>
      <c r="Y110" s="51" t="str">
        <f aca="false">IF($Y$107="","",$Y$107)</f>
        <v>Project Manager</v>
      </c>
    </row>
    <row r="111" customFormat="false" ht="15.75" hidden="false" customHeight="true" outlineLevel="0" collapsed="false">
      <c r="A111" s="51"/>
      <c r="B111" s="51" t="s">
        <v>28</v>
      </c>
      <c r="C111" s="51" t="str">
        <f aca="false">C107</f>
        <v>MEDIUM</v>
      </c>
      <c r="D111" s="51" t="str">
        <f aca="false">D107</f>
        <v>Developer 1</v>
      </c>
      <c r="E111" s="34" t="s">
        <v>9</v>
      </c>
      <c r="F111" s="53" t="n">
        <f aca="false">IF(E111="Completed",100%,IF(OR(E111="In Progress",E111="On Hold"),50%,0%))</f>
        <v>0</v>
      </c>
      <c r="G111" s="49" t="n">
        <f aca="false">H110+1+2*INT((WEEKDAY(H110,1)-1+1)/5)</f>
        <v>46320</v>
      </c>
      <c r="H111" s="49" t="n">
        <f aca="false">G111+(IF(C111="LOW",Settings!$B$8,IF(C111="MEDIUM",Settings!$B$9,Settings!$B$10)))-1+2*INT((WEEKDAY(G111,1)-1+(IF(C111="LOW",Settings!$B$8,IF(C111="MEDIUM",Settings!$B$9,Settings!$B$10)))-1)/5)</f>
        <v>46338</v>
      </c>
      <c r="I111" s="49"/>
      <c r="J111" s="49"/>
      <c r="K111" s="51" t="n">
        <f aca="true">IF(E111="Cancelled","",IF(J111&lt;&gt;"",J111-H111,IF(AND(E111&lt;&gt;"Completed",TODAY()&gt;H111),TODAY()-H111,0)))</f>
        <v>0</v>
      </c>
      <c r="L111" s="51" t="str">
        <f aca="false">IF(E111="Cancelled","Gray",IF(E111="On Hold","Red",IF(E111="Completed",IF(K111&gt;5,"Red",IF(K111&gt;0,"Amber","Green")),IF(K111&gt;5,"Red",IF(K111&gt;0,"Amber","Green")))))</f>
        <v>Green</v>
      </c>
      <c r="M111" s="50" t="s">
        <v>92</v>
      </c>
      <c r="N111" s="50"/>
      <c r="O111" s="34" t="str">
        <f aca="false">$O$107</f>
        <v>RPA-016</v>
      </c>
      <c r="P111" s="34"/>
      <c r="Q111" s="51"/>
      <c r="R111" s="34" t="s">
        <v>87</v>
      </c>
      <c r="S111" s="50"/>
      <c r="T111" s="50"/>
      <c r="U111" s="51" t="str">
        <f aca="false">$U$107</f>
        <v>Medium</v>
      </c>
      <c r="V111" s="51" t="str">
        <f aca="false">IF($V$107="","",$V$107)</f>
        <v/>
      </c>
      <c r="W111" s="34" t="str">
        <f aca="false">IF($W$107="","",$W$107)</f>
        <v/>
      </c>
      <c r="X111" s="52" t="n">
        <v>46233.4534722222</v>
      </c>
      <c r="Y111" s="51" t="str">
        <f aca="false">IF($Y$107="","",$Y$107)</f>
        <v>Project Manager</v>
      </c>
    </row>
    <row r="112" customFormat="false" ht="15.75" hidden="false" customHeight="true" outlineLevel="0" collapsed="false">
      <c r="A112" s="51"/>
      <c r="B112" s="51" t="s">
        <v>30</v>
      </c>
      <c r="C112" s="51" t="str">
        <f aca="false">C107</f>
        <v>MEDIUM</v>
      </c>
      <c r="D112" s="51" t="str">
        <f aca="false">D107</f>
        <v>Developer 1</v>
      </c>
      <c r="E112" s="34" t="s">
        <v>9</v>
      </c>
      <c r="F112" s="53" t="n">
        <f aca="false">IF(E112="Completed",100%,IF(OR(E112="In Progress",E112="On Hold"),50%,0%))</f>
        <v>0</v>
      </c>
      <c r="G112" s="49" t="n">
        <f aca="false">H111+1+2*INT((WEEKDAY(H111,1)-1+1)/5)</f>
        <v>46341</v>
      </c>
      <c r="H112" s="49" t="n">
        <f aca="false">G112+(Settings!$B$11)-1+2*INT((WEEKDAY(G112,1)-1+(Settings!$B$11)-1)/5)</f>
        <v>46342</v>
      </c>
      <c r="I112" s="49"/>
      <c r="J112" s="49"/>
      <c r="K112" s="51" t="n">
        <f aca="true">IF(E112="Cancelled","",IF(J112&lt;&gt;"",J112-H112,IF(AND(E112&lt;&gt;"Completed",TODAY()&gt;H112),TODAY()-H112,0)))</f>
        <v>0</v>
      </c>
      <c r="L112" s="51" t="str">
        <f aca="false">IF(E112="Cancelled","Gray",IF(E112="On Hold","Red",IF(E112="Completed",IF(K112&gt;5,"Red",IF(K112&gt;0,"Amber","Green")),IF(K112&gt;5,"Red",IF(K112&gt;0,"Amber","Green")))))</f>
        <v>Green</v>
      </c>
      <c r="M112" s="50" t="s">
        <v>93</v>
      </c>
      <c r="N112" s="50"/>
      <c r="O112" s="34" t="str">
        <f aca="false">$O$107</f>
        <v>RPA-016</v>
      </c>
      <c r="P112" s="34"/>
      <c r="Q112" s="51"/>
      <c r="R112" s="34" t="s">
        <v>87</v>
      </c>
      <c r="S112" s="50"/>
      <c r="T112" s="50"/>
      <c r="U112" s="51" t="str">
        <f aca="false">$U$107</f>
        <v>Medium</v>
      </c>
      <c r="V112" s="51" t="str">
        <f aca="false">IF($V$107="","",$V$107)</f>
        <v/>
      </c>
      <c r="W112" s="34" t="str">
        <f aca="false">IF($W$107="","",$W$107)</f>
        <v/>
      </c>
      <c r="X112" s="52" t="n">
        <v>46233.4534722222</v>
      </c>
      <c r="Y112" s="51" t="str">
        <f aca="false">IF($Y$107="","",$Y$107)</f>
        <v>Project Manager</v>
      </c>
    </row>
    <row r="113" customFormat="false" ht="15.75" hidden="false" customHeight="true" outlineLevel="0" collapsed="false">
      <c r="A113" s="51"/>
      <c r="B113" s="51" t="s">
        <v>31</v>
      </c>
      <c r="C113" s="51" t="str">
        <f aca="false">C107</f>
        <v>MEDIUM</v>
      </c>
      <c r="D113" s="51" t="str">
        <f aca="false">D107</f>
        <v>Developer 1</v>
      </c>
      <c r="E113" s="34" t="s">
        <v>9</v>
      </c>
      <c r="F113" s="53" t="n">
        <f aca="false">IF(E113="Completed",100%,IF(OR(E113="In Progress",E113="On Hold"),50%,0%))</f>
        <v>0</v>
      </c>
      <c r="G113" s="49" t="n">
        <f aca="false">H112+1+2*INT((WEEKDAY(H112,1)-1+1)/5)</f>
        <v>46343</v>
      </c>
      <c r="H113" s="49" t="n">
        <f aca="false">G113+(Settings!$B$12)-1+2*INT((WEEKDAY(G113,1)-1+(Settings!$B$12)-1)/5)</f>
        <v>46343</v>
      </c>
      <c r="I113" s="49"/>
      <c r="J113" s="49"/>
      <c r="K113" s="51" t="n">
        <f aca="true">IF(E113="Cancelled","",IF(J113&lt;&gt;"",J113-H113,IF(AND(E113&lt;&gt;"Completed",TODAY()&gt;H113),TODAY()-H113,0)))</f>
        <v>0</v>
      </c>
      <c r="L113" s="51" t="str">
        <f aca="false">IF(E113="Cancelled","Gray",IF(E113="On Hold","Red",IF(E113="Completed",IF(K113&gt;5,"Red",IF(K113&gt;0,"Amber","Green")),IF(K113&gt;5,"Red",IF(K113&gt;0,"Amber","Green")))))</f>
        <v>Green</v>
      </c>
      <c r="M113" s="50" t="s">
        <v>92</v>
      </c>
      <c r="N113" s="50"/>
      <c r="O113" s="34" t="str">
        <f aca="false">$O$107</f>
        <v>RPA-016</v>
      </c>
      <c r="P113" s="34"/>
      <c r="Q113" s="51"/>
      <c r="R113" s="34" t="s">
        <v>87</v>
      </c>
      <c r="S113" s="50"/>
      <c r="T113" s="50"/>
      <c r="U113" s="51" t="str">
        <f aca="false">$U$107</f>
        <v>Medium</v>
      </c>
      <c r="V113" s="51" t="str">
        <f aca="false">IF($V$107="","",$V$107)</f>
        <v/>
      </c>
      <c r="W113" s="34" t="str">
        <f aca="false">IF($W$107="","",$W$107)</f>
        <v/>
      </c>
      <c r="X113" s="52" t="n">
        <v>46233.4534722222</v>
      </c>
      <c r="Y113" s="51" t="str">
        <f aca="false">IF($Y$107="","",$Y$107)</f>
        <v>Project Manager</v>
      </c>
    </row>
    <row r="114" customFormat="false" ht="15" hidden="false" customHeight="false" outlineLevel="0" collapsed="false">
      <c r="A114" s="41" t="s">
        <v>84</v>
      </c>
      <c r="B114" s="41" t="s">
        <v>85</v>
      </c>
      <c r="C114" s="41" t="str">
        <f aca="false">'Process Summary'!B20</f>
        <v>MEDIUM</v>
      </c>
      <c r="D114" s="41" t="str">
        <f aca="false">'Process Summary'!C20</f>
        <v>Developer 2</v>
      </c>
      <c r="E114" s="41" t="str">
        <f aca="false">IF(F114=100%,"Completed",IF(E115="On Hold","On Hold",IF(E116="On Hold","On Hold",IF(E117="On Hold","On Hold",IF(E118="On Hold","On Hold",IF(E119="On Hold","On Hold",IF(E120="On Hold","On Hold",IF(F114&gt;0%,"In Progress","Not Started"))))))))</f>
        <v>Not Started</v>
      </c>
      <c r="F114" s="42" t="n">
        <f aca="false">(F115*3+F116*5+F117+F118*IF(C114="LOW",13,IF(C114="MEDIUM",23,33))+F119*2+F120)/(12+IF(C114="LOW",13,IF(C114="MEDIUM",23,33)))</f>
        <v>0</v>
      </c>
      <c r="G114" s="43" t="n">
        <f aca="false">'Process Summary'!G20</f>
        <v>46344</v>
      </c>
      <c r="H114" s="43" t="n">
        <f aca="false">H120</f>
        <v>46380</v>
      </c>
      <c r="I114" s="43" t="str">
        <f aca="false">IF(COUNT(I115:I120)=0,"",MIN(I115:I120))</f>
        <v/>
      </c>
      <c r="J114" s="43" t="str">
        <f aca="false">IF(COUNT(J115:J120)=0,"",MAX(J115:J120))</f>
        <v/>
      </c>
      <c r="K114" s="41" t="n">
        <f aca="true">IF(E114="Cancelled","",IF(J114&lt;&gt;"",J114-H114,IF(AND(E114&lt;&gt;"Completed",TODAY()&gt;H114),TODAY()-H114,0)))</f>
        <v>0</v>
      </c>
      <c r="L114" s="41" t="str">
        <f aca="false">IF(E114="Cancelled","Gray",IF(E114="On Hold","Red",IF(E114="Completed",IF(K114&gt;5,"Red",IF(K114&gt;0,"Amber","Green")),IF(K114&gt;5,"Red",IF(K114&gt;0,"Amber","Green")))))</f>
        <v>Green</v>
      </c>
      <c r="M114" s="44"/>
      <c r="N114" s="44"/>
      <c r="O114" s="41" t="s">
        <v>110</v>
      </c>
      <c r="P114" s="41"/>
      <c r="Q114" s="41"/>
      <c r="R114" s="41" t="s">
        <v>87</v>
      </c>
      <c r="S114" s="44"/>
      <c r="T114" s="44"/>
      <c r="U114" s="41" t="s">
        <v>88</v>
      </c>
      <c r="V114" s="41"/>
      <c r="W114" s="41"/>
      <c r="X114" s="45" t="n">
        <v>46233.4534722222</v>
      </c>
      <c r="Y114" s="41" t="s">
        <v>89</v>
      </c>
    </row>
    <row r="115" customFormat="false" ht="15.75" hidden="false" customHeight="true" outlineLevel="0" collapsed="false">
      <c r="A115" s="46"/>
      <c r="B115" s="46" t="s">
        <v>22</v>
      </c>
      <c r="C115" s="46" t="str">
        <f aca="false">C114</f>
        <v>MEDIUM</v>
      </c>
      <c r="D115" s="46" t="str">
        <f aca="false">D114</f>
        <v>Developer 2</v>
      </c>
      <c r="E115" s="34" t="s">
        <v>9</v>
      </c>
      <c r="F115" s="47" t="n">
        <f aca="false">IF(E115="Completed",100%,IF(OR(E115="In Progress",E115="On Hold"),50%,0%))</f>
        <v>0</v>
      </c>
      <c r="G115" s="48" t="n">
        <f aca="false">G114</f>
        <v>46344</v>
      </c>
      <c r="H115" s="48" t="n">
        <f aca="false">G115+(Settings!$B$5)-1+2*INT((WEEKDAY(G115,1)-1+(Settings!$B$5)-1)/5)</f>
        <v>46348</v>
      </c>
      <c r="I115" s="49"/>
      <c r="J115" s="49"/>
      <c r="K115" s="46" t="n">
        <f aca="true">IF(E115="Cancelled","",IF(J115&lt;&gt;"",J115-H115,IF(AND(E115&lt;&gt;"Completed",TODAY()&gt;H115),TODAY()-H115,0)))</f>
        <v>0</v>
      </c>
      <c r="L115" s="46" t="str">
        <f aca="false">IF(E115="Cancelled","Gray",IF(E115="On Hold","Red",IF(E115="Completed",IF(K115&gt;5,"Red",IF(K115&gt;0,"Amber","Green")),IF(K115&gt;5,"Red",IF(K115&gt;0,"Amber","Green")))))</f>
        <v>Green</v>
      </c>
      <c r="M115" s="50" t="s">
        <v>90</v>
      </c>
      <c r="N115" s="50"/>
      <c r="O115" s="34" t="str">
        <f aca="false">$O$114</f>
        <v>RPA-017</v>
      </c>
      <c r="P115" s="34"/>
      <c r="Q115" s="51"/>
      <c r="R115" s="34" t="s">
        <v>87</v>
      </c>
      <c r="S115" s="50"/>
      <c r="T115" s="50"/>
      <c r="U115" s="51" t="str">
        <f aca="false">$U$114</f>
        <v>Medium</v>
      </c>
      <c r="V115" s="51" t="str">
        <f aca="false">IF($V$114="","",$V$114)</f>
        <v/>
      </c>
      <c r="W115" s="34" t="str">
        <f aca="false">IF($W$114="","",$W$114)</f>
        <v/>
      </c>
      <c r="X115" s="52" t="n">
        <v>46233.4534722222</v>
      </c>
      <c r="Y115" s="51" t="str">
        <f aca="false">IF($Y$114="","",$Y$114)</f>
        <v>Project Manager</v>
      </c>
    </row>
    <row r="116" customFormat="false" ht="15.75" hidden="false" customHeight="true" outlineLevel="0" collapsed="false">
      <c r="A116" s="46"/>
      <c r="B116" s="46" t="s">
        <v>24</v>
      </c>
      <c r="C116" s="46" t="str">
        <f aca="false">C114</f>
        <v>MEDIUM</v>
      </c>
      <c r="D116" s="46" t="str">
        <f aca="false">D114</f>
        <v>Developer 2</v>
      </c>
      <c r="E116" s="34" t="s">
        <v>9</v>
      </c>
      <c r="F116" s="47" t="n">
        <f aca="false">IF(E116="Completed",100%,IF(OR(E116="In Progress",E116="On Hold"),50%,0%))</f>
        <v>0</v>
      </c>
      <c r="G116" s="48" t="n">
        <f aca="false">H115+1+2*INT((WEEKDAY(H115,1)-1+1)/5)</f>
        <v>46349</v>
      </c>
      <c r="H116" s="48" t="n">
        <f aca="false">G116+(Settings!$B$6)-1+2*INT((WEEKDAY(G116,1)-1+(Settings!$B$6)-1)/5)</f>
        <v>46355</v>
      </c>
      <c r="I116" s="49"/>
      <c r="J116" s="49"/>
      <c r="K116" s="46" t="n">
        <f aca="true">IF(E116="Cancelled","",IF(J116&lt;&gt;"",J116-H116,IF(AND(E116&lt;&gt;"Completed",TODAY()&gt;H116),TODAY()-H116,0)))</f>
        <v>0</v>
      </c>
      <c r="L116" s="46" t="str">
        <f aca="false">IF(E116="Cancelled","Gray",IF(E116="On Hold","Red",IF(E116="Completed",IF(K116&gt;5,"Red",IF(K116&gt;0,"Amber","Green")),IF(K116&gt;5,"Red",IF(K116&gt;0,"Amber","Green")))))</f>
        <v>Green</v>
      </c>
      <c r="M116" s="50" t="s">
        <v>90</v>
      </c>
      <c r="N116" s="50"/>
      <c r="O116" s="34" t="str">
        <f aca="false">$O$114</f>
        <v>RPA-017</v>
      </c>
      <c r="P116" s="34"/>
      <c r="Q116" s="51"/>
      <c r="R116" s="34" t="s">
        <v>87</v>
      </c>
      <c r="S116" s="50"/>
      <c r="T116" s="50"/>
      <c r="U116" s="51" t="str">
        <f aca="false">$U$114</f>
        <v>Medium</v>
      </c>
      <c r="V116" s="51" t="str">
        <f aca="false">IF($V$114="","",$V$114)</f>
        <v/>
      </c>
      <c r="W116" s="34" t="str">
        <f aca="false">IF($W$114="","",$W$114)</f>
        <v/>
      </c>
      <c r="X116" s="52" t="n">
        <v>46233.4534722222</v>
      </c>
      <c r="Y116" s="51" t="str">
        <f aca="false">IF($Y$114="","",$Y$114)</f>
        <v>Project Manager</v>
      </c>
    </row>
    <row r="117" customFormat="false" ht="15.75" hidden="false" customHeight="true" outlineLevel="0" collapsed="false">
      <c r="A117" s="46"/>
      <c r="B117" s="46" t="s">
        <v>26</v>
      </c>
      <c r="C117" s="46" t="str">
        <f aca="false">C114</f>
        <v>MEDIUM</v>
      </c>
      <c r="D117" s="46" t="str">
        <f aca="false">D114</f>
        <v>Developer 2</v>
      </c>
      <c r="E117" s="34" t="s">
        <v>9</v>
      </c>
      <c r="F117" s="47" t="n">
        <f aca="false">IF(E117="Completed",100%,IF(OR(E117="In Progress",E117="On Hold"),50%,0%))</f>
        <v>0</v>
      </c>
      <c r="G117" s="48" t="n">
        <f aca="false">H116+1+2*INT((WEEKDAY(H116,1)-1+1)/5)</f>
        <v>46356</v>
      </c>
      <c r="H117" s="48" t="n">
        <f aca="false">G117+(Settings!$B$7)-1+2*INT((WEEKDAY(G117,1)-1+(Settings!$B$7)-1)/5)</f>
        <v>46356</v>
      </c>
      <c r="I117" s="49"/>
      <c r="J117" s="49"/>
      <c r="K117" s="46" t="n">
        <f aca="true">IF(E117="Cancelled","",IF(J117&lt;&gt;"",J117-H117,IF(AND(E117&lt;&gt;"Completed",TODAY()&gt;H117),TODAY()-H117,0)))</f>
        <v>0</v>
      </c>
      <c r="L117" s="46" t="str">
        <f aca="false">IF(E117="Cancelled","Gray",IF(E117="On Hold","Red",IF(E117="Completed",IF(K117&gt;5,"Red",IF(K117&gt;0,"Amber","Green")),IF(K117&gt;5,"Red",IF(K117&gt;0,"Amber","Green")))))</f>
        <v>Green</v>
      </c>
      <c r="M117" s="50" t="s">
        <v>91</v>
      </c>
      <c r="N117" s="50"/>
      <c r="O117" s="34" t="str">
        <f aca="false">$O$114</f>
        <v>RPA-017</v>
      </c>
      <c r="P117" s="34"/>
      <c r="Q117" s="51"/>
      <c r="R117" s="34" t="s">
        <v>87</v>
      </c>
      <c r="S117" s="50"/>
      <c r="T117" s="50"/>
      <c r="U117" s="51" t="str">
        <f aca="false">$U$114</f>
        <v>Medium</v>
      </c>
      <c r="V117" s="51" t="str">
        <f aca="false">IF($V$114="","",$V$114)</f>
        <v/>
      </c>
      <c r="W117" s="34" t="str">
        <f aca="false">IF($W$114="","",$W$114)</f>
        <v/>
      </c>
      <c r="X117" s="52" t="n">
        <v>46233.4534722222</v>
      </c>
      <c r="Y117" s="51" t="str">
        <f aca="false">IF($Y$114="","",$Y$114)</f>
        <v>Project Manager</v>
      </c>
    </row>
    <row r="118" customFormat="false" ht="15.75" hidden="false" customHeight="true" outlineLevel="0" collapsed="false">
      <c r="A118" s="46"/>
      <c r="B118" s="46" t="s">
        <v>28</v>
      </c>
      <c r="C118" s="46" t="str">
        <f aca="false">C114</f>
        <v>MEDIUM</v>
      </c>
      <c r="D118" s="46" t="str">
        <f aca="false">D114</f>
        <v>Developer 2</v>
      </c>
      <c r="E118" s="34" t="s">
        <v>9</v>
      </c>
      <c r="F118" s="47" t="n">
        <f aca="false">IF(E118="Completed",100%,IF(OR(E118="In Progress",E118="On Hold"),50%,0%))</f>
        <v>0</v>
      </c>
      <c r="G118" s="48" t="n">
        <f aca="false">H117+1+2*INT((WEEKDAY(H117,1)-1+1)/5)</f>
        <v>46357</v>
      </c>
      <c r="H118" s="48" t="n">
        <f aca="false">G118+(IF(C118="LOW",Settings!$B$8,IF(C118="MEDIUM",Settings!$B$9,Settings!$B$10)))-1+2*INT((WEEKDAY(G118,1)-1+(IF(C118="LOW",Settings!$B$8,IF(C118="MEDIUM",Settings!$B$9,Settings!$B$10)))-1)/5)</f>
        <v>46377</v>
      </c>
      <c r="I118" s="49"/>
      <c r="J118" s="49"/>
      <c r="K118" s="46" t="n">
        <f aca="true">IF(E118="Cancelled","",IF(J118&lt;&gt;"",J118-H118,IF(AND(E118&lt;&gt;"Completed",TODAY()&gt;H118),TODAY()-H118,0)))</f>
        <v>0</v>
      </c>
      <c r="L118" s="46" t="str">
        <f aca="false">IF(E118="Cancelled","Gray",IF(E118="On Hold","Red",IF(E118="Completed",IF(K118&gt;5,"Red",IF(K118&gt;0,"Amber","Green")),IF(K118&gt;5,"Red",IF(K118&gt;0,"Amber","Green")))))</f>
        <v>Green</v>
      </c>
      <c r="M118" s="50" t="s">
        <v>92</v>
      </c>
      <c r="N118" s="50"/>
      <c r="O118" s="34" t="str">
        <f aca="false">$O$114</f>
        <v>RPA-017</v>
      </c>
      <c r="P118" s="34"/>
      <c r="Q118" s="51"/>
      <c r="R118" s="34" t="s">
        <v>87</v>
      </c>
      <c r="S118" s="50"/>
      <c r="T118" s="50"/>
      <c r="U118" s="51" t="str">
        <f aca="false">$U$114</f>
        <v>Medium</v>
      </c>
      <c r="V118" s="51" t="str">
        <f aca="false">IF($V$114="","",$V$114)</f>
        <v/>
      </c>
      <c r="W118" s="34" t="str">
        <f aca="false">IF($W$114="","",$W$114)</f>
        <v/>
      </c>
      <c r="X118" s="52" t="n">
        <v>46233.4534722222</v>
      </c>
      <c r="Y118" s="51" t="str">
        <f aca="false">IF($Y$114="","",$Y$114)</f>
        <v>Project Manager</v>
      </c>
    </row>
    <row r="119" customFormat="false" ht="15.75" hidden="false" customHeight="true" outlineLevel="0" collapsed="false">
      <c r="A119" s="46"/>
      <c r="B119" s="46" t="s">
        <v>30</v>
      </c>
      <c r="C119" s="46" t="str">
        <f aca="false">C114</f>
        <v>MEDIUM</v>
      </c>
      <c r="D119" s="46" t="str">
        <f aca="false">D114</f>
        <v>Developer 2</v>
      </c>
      <c r="E119" s="34" t="s">
        <v>9</v>
      </c>
      <c r="F119" s="47" t="n">
        <f aca="false">IF(E119="Completed",100%,IF(OR(E119="In Progress",E119="On Hold"),50%,0%))</f>
        <v>0</v>
      </c>
      <c r="G119" s="48" t="n">
        <f aca="false">H118+1+2*INT((WEEKDAY(H118,1)-1+1)/5)</f>
        <v>46378</v>
      </c>
      <c r="H119" s="48" t="n">
        <f aca="false">G119+(Settings!$B$11)-1+2*INT((WEEKDAY(G119,1)-1+(Settings!$B$11)-1)/5)</f>
        <v>46379</v>
      </c>
      <c r="I119" s="49"/>
      <c r="J119" s="49"/>
      <c r="K119" s="46" t="n">
        <f aca="true">IF(E119="Cancelled","",IF(J119&lt;&gt;"",J119-H119,IF(AND(E119&lt;&gt;"Completed",TODAY()&gt;H119),TODAY()-H119,0)))</f>
        <v>0</v>
      </c>
      <c r="L119" s="46" t="str">
        <f aca="false">IF(E119="Cancelled","Gray",IF(E119="On Hold","Red",IF(E119="Completed",IF(K119&gt;5,"Red",IF(K119&gt;0,"Amber","Green")),IF(K119&gt;5,"Red",IF(K119&gt;0,"Amber","Green")))))</f>
        <v>Green</v>
      </c>
      <c r="M119" s="50" t="s">
        <v>93</v>
      </c>
      <c r="N119" s="50"/>
      <c r="O119" s="34" t="str">
        <f aca="false">$O$114</f>
        <v>RPA-017</v>
      </c>
      <c r="P119" s="34"/>
      <c r="Q119" s="51"/>
      <c r="R119" s="34" t="s">
        <v>87</v>
      </c>
      <c r="S119" s="50"/>
      <c r="T119" s="50"/>
      <c r="U119" s="51" t="str">
        <f aca="false">$U$114</f>
        <v>Medium</v>
      </c>
      <c r="V119" s="51" t="str">
        <f aca="false">IF($V$114="","",$V$114)</f>
        <v/>
      </c>
      <c r="W119" s="34" t="str">
        <f aca="false">IF($W$114="","",$W$114)</f>
        <v/>
      </c>
      <c r="X119" s="52" t="n">
        <v>46233.4534722222</v>
      </c>
      <c r="Y119" s="51" t="str">
        <f aca="false">IF($Y$114="","",$Y$114)</f>
        <v>Project Manager</v>
      </c>
    </row>
    <row r="120" customFormat="false" ht="15.75" hidden="false" customHeight="true" outlineLevel="0" collapsed="false">
      <c r="A120" s="46"/>
      <c r="B120" s="46" t="s">
        <v>31</v>
      </c>
      <c r="C120" s="46" t="str">
        <f aca="false">C114</f>
        <v>MEDIUM</v>
      </c>
      <c r="D120" s="46" t="str">
        <f aca="false">D114</f>
        <v>Developer 2</v>
      </c>
      <c r="E120" s="34" t="s">
        <v>9</v>
      </c>
      <c r="F120" s="47" t="n">
        <f aca="false">IF(E120="Completed",100%,IF(OR(E120="In Progress",E120="On Hold"),50%,0%))</f>
        <v>0</v>
      </c>
      <c r="G120" s="48" t="n">
        <f aca="false">H119+1+2*INT((WEEKDAY(H119,1)-1+1)/5)</f>
        <v>46380</v>
      </c>
      <c r="H120" s="48" t="n">
        <f aca="false">G120+(Settings!$B$12)-1+2*INT((WEEKDAY(G120,1)-1+(Settings!$B$12)-1)/5)</f>
        <v>46380</v>
      </c>
      <c r="I120" s="49"/>
      <c r="J120" s="49"/>
      <c r="K120" s="46" t="n">
        <f aca="true">IF(E120="Cancelled","",IF(J120&lt;&gt;"",J120-H120,IF(AND(E120&lt;&gt;"Completed",TODAY()&gt;H120),TODAY()-H120,0)))</f>
        <v>0</v>
      </c>
      <c r="L120" s="46" t="str">
        <f aca="false">IF(E120="Cancelled","Gray",IF(E120="On Hold","Red",IF(E120="Completed",IF(K120&gt;5,"Red",IF(K120&gt;0,"Amber","Green")),IF(K120&gt;5,"Red",IF(K120&gt;0,"Amber","Green")))))</f>
        <v>Green</v>
      </c>
      <c r="M120" s="50" t="s">
        <v>92</v>
      </c>
      <c r="N120" s="50"/>
      <c r="O120" s="34" t="str">
        <f aca="false">$O$114</f>
        <v>RPA-017</v>
      </c>
      <c r="P120" s="34"/>
      <c r="Q120" s="51"/>
      <c r="R120" s="34" t="s">
        <v>87</v>
      </c>
      <c r="S120" s="50"/>
      <c r="T120" s="50"/>
      <c r="U120" s="51" t="str">
        <f aca="false">$U$114</f>
        <v>Medium</v>
      </c>
      <c r="V120" s="51" t="str">
        <f aca="false">IF($V$114="","",$V$114)</f>
        <v/>
      </c>
      <c r="W120" s="34" t="str">
        <f aca="false">IF($W$114="","",$W$114)</f>
        <v/>
      </c>
      <c r="X120" s="52" t="n">
        <v>46233.4534722222</v>
      </c>
      <c r="Y120" s="51" t="str">
        <f aca="false">IF($Y$114="","",$Y$114)</f>
        <v>Project Manager</v>
      </c>
    </row>
    <row r="121" customFormat="false" ht="15" hidden="false" customHeight="false" outlineLevel="0" collapsed="false">
      <c r="A121" s="41" t="s">
        <v>84</v>
      </c>
      <c r="B121" s="41" t="s">
        <v>85</v>
      </c>
      <c r="C121" s="41" t="str">
        <f aca="false">'Process Summary'!B21</f>
        <v>MEDIUM</v>
      </c>
      <c r="D121" s="41" t="str">
        <f aca="false">'Process Summary'!C21</f>
        <v>Developer 3</v>
      </c>
      <c r="E121" s="41" t="str">
        <f aca="false">IF(F121=100%,"Completed",IF(E122="On Hold","On Hold",IF(E123="On Hold","On Hold",IF(E124="On Hold","On Hold",IF(E125="On Hold","On Hold",IF(E126="On Hold","On Hold",IF(E127="On Hold","On Hold",IF(F121&gt;0%,"In Progress","Not Started"))))))))</f>
        <v>Not Started</v>
      </c>
      <c r="F121" s="42" t="n">
        <f aca="false">(F122*3+F123*5+F124+F125*IF(C121="LOW",13,IF(C121="MEDIUM",23,33))+F126*2+F127)/(12+IF(C121="LOW",13,IF(C121="MEDIUM",23,33)))</f>
        <v>0</v>
      </c>
      <c r="G121" s="43" t="n">
        <f aca="false">'Process Summary'!G21</f>
        <v>46344</v>
      </c>
      <c r="H121" s="43" t="n">
        <f aca="false">H127</f>
        <v>46380</v>
      </c>
      <c r="I121" s="43" t="str">
        <f aca="false">IF(COUNT(I122:I127)=0,"",MIN(I122:I127))</f>
        <v/>
      </c>
      <c r="J121" s="43" t="str">
        <f aca="false">IF(COUNT(J122:J127)=0,"",MAX(J122:J127))</f>
        <v/>
      </c>
      <c r="K121" s="41" t="n">
        <f aca="true">IF(E121="Cancelled","",IF(J121&lt;&gt;"",J121-H121,IF(AND(E121&lt;&gt;"Completed",TODAY()&gt;H121),TODAY()-H121,0)))</f>
        <v>0</v>
      </c>
      <c r="L121" s="41" t="str">
        <f aca="false">IF(E121="Cancelled","Gray",IF(E121="On Hold","Red",IF(E121="Completed",IF(K121&gt;5,"Red",IF(K121&gt;0,"Amber","Green")),IF(K121&gt;5,"Red",IF(K121&gt;0,"Amber","Green")))))</f>
        <v>Green</v>
      </c>
      <c r="M121" s="44"/>
      <c r="N121" s="44"/>
      <c r="O121" s="41" t="s">
        <v>111</v>
      </c>
      <c r="P121" s="41"/>
      <c r="Q121" s="41"/>
      <c r="R121" s="41" t="s">
        <v>87</v>
      </c>
      <c r="S121" s="44"/>
      <c r="T121" s="44"/>
      <c r="U121" s="41" t="s">
        <v>88</v>
      </c>
      <c r="V121" s="41"/>
      <c r="W121" s="41"/>
      <c r="X121" s="45" t="n">
        <v>46233.4534722222</v>
      </c>
      <c r="Y121" s="41" t="s">
        <v>89</v>
      </c>
    </row>
    <row r="122" customFormat="false" ht="15.75" hidden="false" customHeight="true" outlineLevel="0" collapsed="false">
      <c r="A122" s="51"/>
      <c r="B122" s="51" t="s">
        <v>22</v>
      </c>
      <c r="C122" s="51" t="str">
        <f aca="false">C121</f>
        <v>MEDIUM</v>
      </c>
      <c r="D122" s="51" t="str">
        <f aca="false">D121</f>
        <v>Developer 3</v>
      </c>
      <c r="E122" s="34" t="s">
        <v>9</v>
      </c>
      <c r="F122" s="53" t="n">
        <f aca="false">IF(E122="Completed",100%,IF(OR(E122="In Progress",E122="On Hold"),50%,0%))</f>
        <v>0</v>
      </c>
      <c r="G122" s="49" t="n">
        <f aca="false">G121</f>
        <v>46344</v>
      </c>
      <c r="H122" s="49" t="n">
        <f aca="false">G122+(Settings!$B$5)-1+2*INT((WEEKDAY(G122,1)-1+(Settings!$B$5)-1)/5)</f>
        <v>46348</v>
      </c>
      <c r="I122" s="49"/>
      <c r="J122" s="49"/>
      <c r="K122" s="51" t="n">
        <f aca="true">IF(E122="Cancelled","",IF(J122&lt;&gt;"",J122-H122,IF(AND(E122&lt;&gt;"Completed",TODAY()&gt;H122),TODAY()-H122,0)))</f>
        <v>0</v>
      </c>
      <c r="L122" s="51" t="str">
        <f aca="false">IF(E122="Cancelled","Gray",IF(E122="On Hold","Red",IF(E122="Completed",IF(K122&gt;5,"Red",IF(K122&gt;0,"Amber","Green")),IF(K122&gt;5,"Red",IF(K122&gt;0,"Amber","Green")))))</f>
        <v>Green</v>
      </c>
      <c r="M122" s="50" t="s">
        <v>90</v>
      </c>
      <c r="N122" s="50"/>
      <c r="O122" s="34" t="str">
        <f aca="false">$O$121</f>
        <v>RPA-018</v>
      </c>
      <c r="P122" s="34"/>
      <c r="Q122" s="51"/>
      <c r="R122" s="34" t="s">
        <v>87</v>
      </c>
      <c r="S122" s="50"/>
      <c r="T122" s="50"/>
      <c r="U122" s="51" t="str">
        <f aca="false">$U$121</f>
        <v>Medium</v>
      </c>
      <c r="V122" s="51" t="str">
        <f aca="false">IF($V$121="","",$V$121)</f>
        <v/>
      </c>
      <c r="W122" s="34" t="str">
        <f aca="false">IF($W$121="","",$W$121)</f>
        <v/>
      </c>
      <c r="X122" s="52" t="n">
        <v>46233.4534722222</v>
      </c>
      <c r="Y122" s="51" t="str">
        <f aca="false">IF($Y$121="","",$Y$121)</f>
        <v>Project Manager</v>
      </c>
    </row>
    <row r="123" customFormat="false" ht="15.75" hidden="false" customHeight="true" outlineLevel="0" collapsed="false">
      <c r="A123" s="51"/>
      <c r="B123" s="51" t="s">
        <v>24</v>
      </c>
      <c r="C123" s="51" t="str">
        <f aca="false">C121</f>
        <v>MEDIUM</v>
      </c>
      <c r="D123" s="51" t="str">
        <f aca="false">D121</f>
        <v>Developer 3</v>
      </c>
      <c r="E123" s="34" t="s">
        <v>9</v>
      </c>
      <c r="F123" s="53" t="n">
        <f aca="false">IF(E123="Completed",100%,IF(OR(E123="In Progress",E123="On Hold"),50%,0%))</f>
        <v>0</v>
      </c>
      <c r="G123" s="49" t="n">
        <f aca="false">H122+1+2*INT((WEEKDAY(H122,1)-1+1)/5)</f>
        <v>46349</v>
      </c>
      <c r="H123" s="49" t="n">
        <f aca="false">G123+(Settings!$B$6)-1+2*INT((WEEKDAY(G123,1)-1+(Settings!$B$6)-1)/5)</f>
        <v>46355</v>
      </c>
      <c r="I123" s="49"/>
      <c r="J123" s="49"/>
      <c r="K123" s="51" t="n">
        <f aca="true">IF(E123="Cancelled","",IF(J123&lt;&gt;"",J123-H123,IF(AND(E123&lt;&gt;"Completed",TODAY()&gt;H123),TODAY()-H123,0)))</f>
        <v>0</v>
      </c>
      <c r="L123" s="51" t="str">
        <f aca="false">IF(E123="Cancelled","Gray",IF(E123="On Hold","Red",IF(E123="Completed",IF(K123&gt;5,"Red",IF(K123&gt;0,"Amber","Green")),IF(K123&gt;5,"Red",IF(K123&gt;0,"Amber","Green")))))</f>
        <v>Green</v>
      </c>
      <c r="M123" s="50" t="s">
        <v>90</v>
      </c>
      <c r="N123" s="50"/>
      <c r="O123" s="34" t="str">
        <f aca="false">$O$121</f>
        <v>RPA-018</v>
      </c>
      <c r="P123" s="34"/>
      <c r="Q123" s="51"/>
      <c r="R123" s="34" t="s">
        <v>87</v>
      </c>
      <c r="S123" s="50"/>
      <c r="T123" s="50"/>
      <c r="U123" s="51" t="str">
        <f aca="false">$U$121</f>
        <v>Medium</v>
      </c>
      <c r="V123" s="51" t="str">
        <f aca="false">IF($V$121="","",$V$121)</f>
        <v/>
      </c>
      <c r="W123" s="34" t="str">
        <f aca="false">IF($W$121="","",$W$121)</f>
        <v/>
      </c>
      <c r="X123" s="52" t="n">
        <v>46233.4534722222</v>
      </c>
      <c r="Y123" s="51" t="str">
        <f aca="false">IF($Y$121="","",$Y$121)</f>
        <v>Project Manager</v>
      </c>
    </row>
    <row r="124" customFormat="false" ht="15.75" hidden="false" customHeight="true" outlineLevel="0" collapsed="false">
      <c r="A124" s="51"/>
      <c r="B124" s="51" t="s">
        <v>26</v>
      </c>
      <c r="C124" s="51" t="str">
        <f aca="false">C121</f>
        <v>MEDIUM</v>
      </c>
      <c r="D124" s="51" t="str">
        <f aca="false">D121</f>
        <v>Developer 3</v>
      </c>
      <c r="E124" s="34" t="s">
        <v>9</v>
      </c>
      <c r="F124" s="53" t="n">
        <f aca="false">IF(E124="Completed",100%,IF(OR(E124="In Progress",E124="On Hold"),50%,0%))</f>
        <v>0</v>
      </c>
      <c r="G124" s="49" t="n">
        <f aca="false">H123+1+2*INT((WEEKDAY(H123,1)-1+1)/5)</f>
        <v>46356</v>
      </c>
      <c r="H124" s="49" t="n">
        <f aca="false">G124+(Settings!$B$7)-1+2*INT((WEEKDAY(G124,1)-1+(Settings!$B$7)-1)/5)</f>
        <v>46356</v>
      </c>
      <c r="I124" s="49"/>
      <c r="J124" s="49"/>
      <c r="K124" s="51" t="n">
        <f aca="true">IF(E124="Cancelled","",IF(J124&lt;&gt;"",J124-H124,IF(AND(E124&lt;&gt;"Completed",TODAY()&gt;H124),TODAY()-H124,0)))</f>
        <v>0</v>
      </c>
      <c r="L124" s="51" t="str">
        <f aca="false">IF(E124="Cancelled","Gray",IF(E124="On Hold","Red",IF(E124="Completed",IF(K124&gt;5,"Red",IF(K124&gt;0,"Amber","Green")),IF(K124&gt;5,"Red",IF(K124&gt;0,"Amber","Green")))))</f>
        <v>Green</v>
      </c>
      <c r="M124" s="50" t="s">
        <v>91</v>
      </c>
      <c r="N124" s="50"/>
      <c r="O124" s="34" t="str">
        <f aca="false">$O$121</f>
        <v>RPA-018</v>
      </c>
      <c r="P124" s="34"/>
      <c r="Q124" s="51"/>
      <c r="R124" s="34" t="s">
        <v>87</v>
      </c>
      <c r="S124" s="50"/>
      <c r="T124" s="50"/>
      <c r="U124" s="51" t="str">
        <f aca="false">$U$121</f>
        <v>Medium</v>
      </c>
      <c r="V124" s="51" t="str">
        <f aca="false">IF($V$121="","",$V$121)</f>
        <v/>
      </c>
      <c r="W124" s="34" t="str">
        <f aca="false">IF($W$121="","",$W$121)</f>
        <v/>
      </c>
      <c r="X124" s="52" t="n">
        <v>46233.4534722222</v>
      </c>
      <c r="Y124" s="51" t="str">
        <f aca="false">IF($Y$121="","",$Y$121)</f>
        <v>Project Manager</v>
      </c>
    </row>
    <row r="125" customFormat="false" ht="15.75" hidden="false" customHeight="true" outlineLevel="0" collapsed="false">
      <c r="A125" s="51"/>
      <c r="B125" s="51" t="s">
        <v>28</v>
      </c>
      <c r="C125" s="51" t="str">
        <f aca="false">C121</f>
        <v>MEDIUM</v>
      </c>
      <c r="D125" s="51" t="str">
        <f aca="false">D121</f>
        <v>Developer 3</v>
      </c>
      <c r="E125" s="34" t="s">
        <v>9</v>
      </c>
      <c r="F125" s="53" t="n">
        <f aca="false">IF(E125="Completed",100%,IF(OR(E125="In Progress",E125="On Hold"),50%,0%))</f>
        <v>0</v>
      </c>
      <c r="G125" s="49" t="n">
        <f aca="false">H124+1+2*INT((WEEKDAY(H124,1)-1+1)/5)</f>
        <v>46357</v>
      </c>
      <c r="H125" s="49" t="n">
        <f aca="false">G125+(IF(C125="LOW",Settings!$B$8,IF(C125="MEDIUM",Settings!$B$9,Settings!$B$10)))-1+2*INT((WEEKDAY(G125,1)-1+(IF(C125="LOW",Settings!$B$8,IF(C125="MEDIUM",Settings!$B$9,Settings!$B$10)))-1)/5)</f>
        <v>46377</v>
      </c>
      <c r="I125" s="49"/>
      <c r="J125" s="49"/>
      <c r="K125" s="51" t="n">
        <f aca="true">IF(E125="Cancelled","",IF(J125&lt;&gt;"",J125-H125,IF(AND(E125&lt;&gt;"Completed",TODAY()&gt;H125),TODAY()-H125,0)))</f>
        <v>0</v>
      </c>
      <c r="L125" s="51" t="str">
        <f aca="false">IF(E125="Cancelled","Gray",IF(E125="On Hold","Red",IF(E125="Completed",IF(K125&gt;5,"Red",IF(K125&gt;0,"Amber","Green")),IF(K125&gt;5,"Red",IF(K125&gt;0,"Amber","Green")))))</f>
        <v>Green</v>
      </c>
      <c r="M125" s="50" t="s">
        <v>92</v>
      </c>
      <c r="N125" s="50"/>
      <c r="O125" s="34" t="str">
        <f aca="false">$O$121</f>
        <v>RPA-018</v>
      </c>
      <c r="P125" s="34"/>
      <c r="Q125" s="51"/>
      <c r="R125" s="34" t="s">
        <v>87</v>
      </c>
      <c r="S125" s="50"/>
      <c r="T125" s="50"/>
      <c r="U125" s="51" t="str">
        <f aca="false">$U$121</f>
        <v>Medium</v>
      </c>
      <c r="V125" s="51" t="str">
        <f aca="false">IF($V$121="","",$V$121)</f>
        <v/>
      </c>
      <c r="W125" s="34" t="str">
        <f aca="false">IF($W$121="","",$W$121)</f>
        <v/>
      </c>
      <c r="X125" s="52" t="n">
        <v>46233.4534722222</v>
      </c>
      <c r="Y125" s="51" t="str">
        <f aca="false">IF($Y$121="","",$Y$121)</f>
        <v>Project Manager</v>
      </c>
    </row>
    <row r="126" customFormat="false" ht="15.75" hidden="false" customHeight="true" outlineLevel="0" collapsed="false">
      <c r="A126" s="51"/>
      <c r="B126" s="51" t="s">
        <v>30</v>
      </c>
      <c r="C126" s="51" t="str">
        <f aca="false">C121</f>
        <v>MEDIUM</v>
      </c>
      <c r="D126" s="51" t="str">
        <f aca="false">D121</f>
        <v>Developer 3</v>
      </c>
      <c r="E126" s="34" t="s">
        <v>9</v>
      </c>
      <c r="F126" s="53" t="n">
        <f aca="false">IF(E126="Completed",100%,IF(OR(E126="In Progress",E126="On Hold"),50%,0%))</f>
        <v>0</v>
      </c>
      <c r="G126" s="49" t="n">
        <f aca="false">H125+1+2*INT((WEEKDAY(H125,1)-1+1)/5)</f>
        <v>46378</v>
      </c>
      <c r="H126" s="49" t="n">
        <f aca="false">G126+(Settings!$B$11)-1+2*INT((WEEKDAY(G126,1)-1+(Settings!$B$11)-1)/5)</f>
        <v>46379</v>
      </c>
      <c r="I126" s="49"/>
      <c r="J126" s="49"/>
      <c r="K126" s="51" t="n">
        <f aca="true">IF(E126="Cancelled","",IF(J126&lt;&gt;"",J126-H126,IF(AND(E126&lt;&gt;"Completed",TODAY()&gt;H126),TODAY()-H126,0)))</f>
        <v>0</v>
      </c>
      <c r="L126" s="51" t="str">
        <f aca="false">IF(E126="Cancelled","Gray",IF(E126="On Hold","Red",IF(E126="Completed",IF(K126&gt;5,"Red",IF(K126&gt;0,"Amber","Green")),IF(K126&gt;5,"Red",IF(K126&gt;0,"Amber","Green")))))</f>
        <v>Green</v>
      </c>
      <c r="M126" s="50" t="s">
        <v>93</v>
      </c>
      <c r="N126" s="50"/>
      <c r="O126" s="34" t="str">
        <f aca="false">$O$121</f>
        <v>RPA-018</v>
      </c>
      <c r="P126" s="34"/>
      <c r="Q126" s="51"/>
      <c r="R126" s="34" t="s">
        <v>87</v>
      </c>
      <c r="S126" s="50"/>
      <c r="T126" s="50"/>
      <c r="U126" s="51" t="str">
        <f aca="false">$U$121</f>
        <v>Medium</v>
      </c>
      <c r="V126" s="51" t="str">
        <f aca="false">IF($V$121="","",$V$121)</f>
        <v/>
      </c>
      <c r="W126" s="34" t="str">
        <f aca="false">IF($W$121="","",$W$121)</f>
        <v/>
      </c>
      <c r="X126" s="52" t="n">
        <v>46233.4534722222</v>
      </c>
      <c r="Y126" s="51" t="str">
        <f aca="false">IF($Y$121="","",$Y$121)</f>
        <v>Project Manager</v>
      </c>
    </row>
    <row r="127" customFormat="false" ht="15.75" hidden="false" customHeight="true" outlineLevel="0" collapsed="false">
      <c r="A127" s="51"/>
      <c r="B127" s="51" t="s">
        <v>31</v>
      </c>
      <c r="C127" s="51" t="str">
        <f aca="false">C121</f>
        <v>MEDIUM</v>
      </c>
      <c r="D127" s="51" t="str">
        <f aca="false">D121</f>
        <v>Developer 3</v>
      </c>
      <c r="E127" s="34" t="s">
        <v>9</v>
      </c>
      <c r="F127" s="53" t="n">
        <f aca="false">IF(E127="Completed",100%,IF(OR(E127="In Progress",E127="On Hold"),50%,0%))</f>
        <v>0</v>
      </c>
      <c r="G127" s="49" t="n">
        <f aca="false">H126+1+2*INT((WEEKDAY(H126,1)-1+1)/5)</f>
        <v>46380</v>
      </c>
      <c r="H127" s="49" t="n">
        <f aca="false">G127+(Settings!$B$12)-1+2*INT((WEEKDAY(G127,1)-1+(Settings!$B$12)-1)/5)</f>
        <v>46380</v>
      </c>
      <c r="I127" s="49"/>
      <c r="J127" s="49"/>
      <c r="K127" s="51" t="n">
        <f aca="true">IF(E127="Cancelled","",IF(J127&lt;&gt;"",J127-H127,IF(AND(E127&lt;&gt;"Completed",TODAY()&gt;H127),TODAY()-H127,0)))</f>
        <v>0</v>
      </c>
      <c r="L127" s="51" t="str">
        <f aca="false">IF(E127="Cancelled","Gray",IF(E127="On Hold","Red",IF(E127="Completed",IF(K127&gt;5,"Red",IF(K127&gt;0,"Amber","Green")),IF(K127&gt;5,"Red",IF(K127&gt;0,"Amber","Green")))))</f>
        <v>Green</v>
      </c>
      <c r="M127" s="50" t="s">
        <v>92</v>
      </c>
      <c r="N127" s="50"/>
      <c r="O127" s="34" t="str">
        <f aca="false">$O$121</f>
        <v>RPA-018</v>
      </c>
      <c r="P127" s="34"/>
      <c r="Q127" s="51"/>
      <c r="R127" s="34" t="s">
        <v>87</v>
      </c>
      <c r="S127" s="50"/>
      <c r="T127" s="50"/>
      <c r="U127" s="51" t="str">
        <f aca="false">$U$121</f>
        <v>Medium</v>
      </c>
      <c r="V127" s="51" t="str">
        <f aca="false">IF($V$121="","",$V$121)</f>
        <v/>
      </c>
      <c r="W127" s="34" t="str">
        <f aca="false">IF($W$121="","",$W$121)</f>
        <v/>
      </c>
      <c r="X127" s="52" t="n">
        <v>46233.4534722222</v>
      </c>
      <c r="Y127" s="51" t="str">
        <f aca="false">IF($Y$121="","",$Y$121)</f>
        <v>Project Manager</v>
      </c>
    </row>
    <row r="128" customFormat="false" ht="15" hidden="false" customHeight="false" outlineLevel="0" collapsed="false">
      <c r="A128" s="41" t="s">
        <v>84</v>
      </c>
      <c r="B128" s="41" t="s">
        <v>85</v>
      </c>
      <c r="C128" s="41" t="str">
        <f aca="false">'Process Summary'!B22</f>
        <v>MEDIUM</v>
      </c>
      <c r="D128" s="41" t="str">
        <f aca="false">'Process Summary'!C22</f>
        <v>Developer 4</v>
      </c>
      <c r="E128" s="41" t="str">
        <f aca="false">IF(F128=100%,"Completed",IF(E129="On Hold","On Hold",IF(E130="On Hold","On Hold",IF(E131="On Hold","On Hold",IF(E132="On Hold","On Hold",IF(E133="On Hold","On Hold",IF(E134="On Hold","On Hold",IF(F128&gt;0%,"In Progress","Not Started"))))))))</f>
        <v>Not Started</v>
      </c>
      <c r="F128" s="42" t="n">
        <f aca="false">(F129*3+F130*5+F131+F132*IF(C128="LOW",13,IF(C128="MEDIUM",23,33))+F133*2+F134)/(12+IF(C128="LOW",13,IF(C128="MEDIUM",23,33)))</f>
        <v>0</v>
      </c>
      <c r="G128" s="43" t="n">
        <f aca="false">'Process Summary'!G22</f>
        <v>46344</v>
      </c>
      <c r="H128" s="43" t="n">
        <f aca="false">H134</f>
        <v>46380</v>
      </c>
      <c r="I128" s="43" t="str">
        <f aca="false">IF(COUNT(I129:I134)=0,"",MIN(I129:I134))</f>
        <v/>
      </c>
      <c r="J128" s="43" t="str">
        <f aca="false">IF(COUNT(J129:J134)=0,"",MAX(J129:J134))</f>
        <v/>
      </c>
      <c r="K128" s="41" t="n">
        <f aca="true">IF(E128="Cancelled","",IF(J128&lt;&gt;"",J128-H128,IF(AND(E128&lt;&gt;"Completed",TODAY()&gt;H128),TODAY()-H128,0)))</f>
        <v>0</v>
      </c>
      <c r="L128" s="41" t="str">
        <f aca="false">IF(E128="Cancelled","Gray",IF(E128="On Hold","Red",IF(E128="Completed",IF(K128&gt;5,"Red",IF(K128&gt;0,"Amber","Green")),IF(K128&gt;5,"Red",IF(K128&gt;0,"Amber","Green")))))</f>
        <v>Green</v>
      </c>
      <c r="M128" s="44"/>
      <c r="N128" s="44"/>
      <c r="O128" s="41" t="s">
        <v>112</v>
      </c>
      <c r="P128" s="41"/>
      <c r="Q128" s="41"/>
      <c r="R128" s="41" t="s">
        <v>87</v>
      </c>
      <c r="S128" s="44"/>
      <c r="T128" s="44"/>
      <c r="U128" s="41" t="s">
        <v>88</v>
      </c>
      <c r="V128" s="41"/>
      <c r="W128" s="41"/>
      <c r="X128" s="45" t="n">
        <v>46233.4534722222</v>
      </c>
      <c r="Y128" s="41" t="s">
        <v>89</v>
      </c>
    </row>
    <row r="129" customFormat="false" ht="15.75" hidden="false" customHeight="true" outlineLevel="0" collapsed="false">
      <c r="A129" s="46"/>
      <c r="B129" s="46" t="s">
        <v>22</v>
      </c>
      <c r="C129" s="46" t="str">
        <f aca="false">C128</f>
        <v>MEDIUM</v>
      </c>
      <c r="D129" s="46" t="str">
        <f aca="false">D128</f>
        <v>Developer 4</v>
      </c>
      <c r="E129" s="34" t="s">
        <v>9</v>
      </c>
      <c r="F129" s="47" t="n">
        <f aca="false">IF(E129="Completed",100%,IF(OR(E129="In Progress",E129="On Hold"),50%,0%))</f>
        <v>0</v>
      </c>
      <c r="G129" s="48" t="n">
        <f aca="false">G128</f>
        <v>46344</v>
      </c>
      <c r="H129" s="48" t="n">
        <f aca="false">G129+(Settings!$B$5)-1+2*INT((WEEKDAY(G129,1)-1+(Settings!$B$5)-1)/5)</f>
        <v>46348</v>
      </c>
      <c r="I129" s="49"/>
      <c r="J129" s="49"/>
      <c r="K129" s="46" t="n">
        <f aca="true">IF(E129="Cancelled","",IF(J129&lt;&gt;"",J129-H129,IF(AND(E129&lt;&gt;"Completed",TODAY()&gt;H129),TODAY()-H129,0)))</f>
        <v>0</v>
      </c>
      <c r="L129" s="46" t="str">
        <f aca="false">IF(E129="Cancelled","Gray",IF(E129="On Hold","Red",IF(E129="Completed",IF(K129&gt;5,"Red",IF(K129&gt;0,"Amber","Green")),IF(K129&gt;5,"Red",IF(K129&gt;0,"Amber","Green")))))</f>
        <v>Green</v>
      </c>
      <c r="M129" s="50" t="s">
        <v>90</v>
      </c>
      <c r="N129" s="50"/>
      <c r="O129" s="34" t="str">
        <f aca="false">$O$128</f>
        <v>RPA-019</v>
      </c>
      <c r="P129" s="34"/>
      <c r="Q129" s="51"/>
      <c r="R129" s="34" t="s">
        <v>87</v>
      </c>
      <c r="S129" s="50"/>
      <c r="T129" s="50"/>
      <c r="U129" s="51" t="str">
        <f aca="false">$U$128</f>
        <v>Medium</v>
      </c>
      <c r="V129" s="51" t="str">
        <f aca="false">IF($V$128="","",$V$128)</f>
        <v/>
      </c>
      <c r="W129" s="34" t="str">
        <f aca="false">IF($W$128="","",$W$128)</f>
        <v/>
      </c>
      <c r="X129" s="52" t="n">
        <v>46233.4534722222</v>
      </c>
      <c r="Y129" s="51" t="str">
        <f aca="false">IF($Y$128="","",$Y$128)</f>
        <v>Project Manager</v>
      </c>
    </row>
    <row r="130" customFormat="false" ht="15.75" hidden="false" customHeight="true" outlineLevel="0" collapsed="false">
      <c r="A130" s="46"/>
      <c r="B130" s="46" t="s">
        <v>24</v>
      </c>
      <c r="C130" s="46" t="str">
        <f aca="false">C128</f>
        <v>MEDIUM</v>
      </c>
      <c r="D130" s="46" t="str">
        <f aca="false">D128</f>
        <v>Developer 4</v>
      </c>
      <c r="E130" s="34" t="s">
        <v>9</v>
      </c>
      <c r="F130" s="47" t="n">
        <f aca="false">IF(E130="Completed",100%,IF(OR(E130="In Progress",E130="On Hold"),50%,0%))</f>
        <v>0</v>
      </c>
      <c r="G130" s="48" t="n">
        <f aca="false">H129+1+2*INT((WEEKDAY(H129,1)-1+1)/5)</f>
        <v>46349</v>
      </c>
      <c r="H130" s="48" t="n">
        <f aca="false">G130+(Settings!$B$6)-1+2*INT((WEEKDAY(G130,1)-1+(Settings!$B$6)-1)/5)</f>
        <v>46355</v>
      </c>
      <c r="I130" s="49"/>
      <c r="J130" s="49"/>
      <c r="K130" s="46" t="n">
        <f aca="true">IF(E130="Cancelled","",IF(J130&lt;&gt;"",J130-H130,IF(AND(E130&lt;&gt;"Completed",TODAY()&gt;H130),TODAY()-H130,0)))</f>
        <v>0</v>
      </c>
      <c r="L130" s="46" t="str">
        <f aca="false">IF(E130="Cancelled","Gray",IF(E130="On Hold","Red",IF(E130="Completed",IF(K130&gt;5,"Red",IF(K130&gt;0,"Amber","Green")),IF(K130&gt;5,"Red",IF(K130&gt;0,"Amber","Green")))))</f>
        <v>Green</v>
      </c>
      <c r="M130" s="50" t="s">
        <v>90</v>
      </c>
      <c r="N130" s="50"/>
      <c r="O130" s="34" t="str">
        <f aca="false">$O$128</f>
        <v>RPA-019</v>
      </c>
      <c r="P130" s="34"/>
      <c r="Q130" s="51"/>
      <c r="R130" s="34" t="s">
        <v>87</v>
      </c>
      <c r="S130" s="50"/>
      <c r="T130" s="50"/>
      <c r="U130" s="51" t="str">
        <f aca="false">$U$128</f>
        <v>Medium</v>
      </c>
      <c r="V130" s="51" t="str">
        <f aca="false">IF($V$128="","",$V$128)</f>
        <v/>
      </c>
      <c r="W130" s="34" t="str">
        <f aca="false">IF($W$128="","",$W$128)</f>
        <v/>
      </c>
      <c r="X130" s="52" t="n">
        <v>46233.4534722222</v>
      </c>
      <c r="Y130" s="51" t="str">
        <f aca="false">IF($Y$128="","",$Y$128)</f>
        <v>Project Manager</v>
      </c>
    </row>
    <row r="131" customFormat="false" ht="15.75" hidden="false" customHeight="true" outlineLevel="0" collapsed="false">
      <c r="A131" s="46"/>
      <c r="B131" s="46" t="s">
        <v>26</v>
      </c>
      <c r="C131" s="46" t="str">
        <f aca="false">C128</f>
        <v>MEDIUM</v>
      </c>
      <c r="D131" s="46" t="str">
        <f aca="false">D128</f>
        <v>Developer 4</v>
      </c>
      <c r="E131" s="34" t="s">
        <v>9</v>
      </c>
      <c r="F131" s="47" t="n">
        <f aca="false">IF(E131="Completed",100%,IF(OR(E131="In Progress",E131="On Hold"),50%,0%))</f>
        <v>0</v>
      </c>
      <c r="G131" s="48" t="n">
        <f aca="false">H130+1+2*INT((WEEKDAY(H130,1)-1+1)/5)</f>
        <v>46356</v>
      </c>
      <c r="H131" s="48" t="n">
        <f aca="false">G131+(Settings!$B$7)-1+2*INT((WEEKDAY(G131,1)-1+(Settings!$B$7)-1)/5)</f>
        <v>46356</v>
      </c>
      <c r="I131" s="49"/>
      <c r="J131" s="49"/>
      <c r="K131" s="46" t="n">
        <f aca="true">IF(E131="Cancelled","",IF(J131&lt;&gt;"",J131-H131,IF(AND(E131&lt;&gt;"Completed",TODAY()&gt;H131),TODAY()-H131,0)))</f>
        <v>0</v>
      </c>
      <c r="L131" s="46" t="str">
        <f aca="false">IF(E131="Cancelled","Gray",IF(E131="On Hold","Red",IF(E131="Completed",IF(K131&gt;5,"Red",IF(K131&gt;0,"Amber","Green")),IF(K131&gt;5,"Red",IF(K131&gt;0,"Amber","Green")))))</f>
        <v>Green</v>
      </c>
      <c r="M131" s="50" t="s">
        <v>91</v>
      </c>
      <c r="N131" s="50"/>
      <c r="O131" s="34" t="str">
        <f aca="false">$O$128</f>
        <v>RPA-019</v>
      </c>
      <c r="P131" s="34"/>
      <c r="Q131" s="51"/>
      <c r="R131" s="34" t="s">
        <v>87</v>
      </c>
      <c r="S131" s="50"/>
      <c r="T131" s="50"/>
      <c r="U131" s="51" t="str">
        <f aca="false">$U$128</f>
        <v>Medium</v>
      </c>
      <c r="V131" s="51" t="str">
        <f aca="false">IF($V$128="","",$V$128)</f>
        <v/>
      </c>
      <c r="W131" s="34" t="str">
        <f aca="false">IF($W$128="","",$W$128)</f>
        <v/>
      </c>
      <c r="X131" s="52" t="n">
        <v>46233.4534722222</v>
      </c>
      <c r="Y131" s="51" t="str">
        <f aca="false">IF($Y$128="","",$Y$128)</f>
        <v>Project Manager</v>
      </c>
    </row>
    <row r="132" customFormat="false" ht="15.75" hidden="false" customHeight="true" outlineLevel="0" collapsed="false">
      <c r="A132" s="46"/>
      <c r="B132" s="46" t="s">
        <v>28</v>
      </c>
      <c r="C132" s="46" t="str">
        <f aca="false">C128</f>
        <v>MEDIUM</v>
      </c>
      <c r="D132" s="46" t="str">
        <f aca="false">D128</f>
        <v>Developer 4</v>
      </c>
      <c r="E132" s="34" t="s">
        <v>9</v>
      </c>
      <c r="F132" s="47" t="n">
        <f aca="false">IF(E132="Completed",100%,IF(OR(E132="In Progress",E132="On Hold"),50%,0%))</f>
        <v>0</v>
      </c>
      <c r="G132" s="48" t="n">
        <f aca="false">H131+1+2*INT((WEEKDAY(H131,1)-1+1)/5)</f>
        <v>46357</v>
      </c>
      <c r="H132" s="48" t="n">
        <f aca="false">G132+(IF(C132="LOW",Settings!$B$8,IF(C132="MEDIUM",Settings!$B$9,Settings!$B$10)))-1+2*INT((WEEKDAY(G132,1)-1+(IF(C132="LOW",Settings!$B$8,IF(C132="MEDIUM",Settings!$B$9,Settings!$B$10)))-1)/5)</f>
        <v>46377</v>
      </c>
      <c r="I132" s="49"/>
      <c r="J132" s="49"/>
      <c r="K132" s="46" t="n">
        <f aca="true">IF(E132="Cancelled","",IF(J132&lt;&gt;"",J132-H132,IF(AND(E132&lt;&gt;"Completed",TODAY()&gt;H132),TODAY()-H132,0)))</f>
        <v>0</v>
      </c>
      <c r="L132" s="46" t="str">
        <f aca="false">IF(E132="Cancelled","Gray",IF(E132="On Hold","Red",IF(E132="Completed",IF(K132&gt;5,"Red",IF(K132&gt;0,"Amber","Green")),IF(K132&gt;5,"Red",IF(K132&gt;0,"Amber","Green")))))</f>
        <v>Green</v>
      </c>
      <c r="M132" s="50" t="s">
        <v>92</v>
      </c>
      <c r="N132" s="50"/>
      <c r="O132" s="34" t="str">
        <f aca="false">$O$128</f>
        <v>RPA-019</v>
      </c>
      <c r="P132" s="34"/>
      <c r="Q132" s="51"/>
      <c r="R132" s="34" t="s">
        <v>87</v>
      </c>
      <c r="S132" s="50"/>
      <c r="T132" s="50"/>
      <c r="U132" s="51" t="str">
        <f aca="false">$U$128</f>
        <v>Medium</v>
      </c>
      <c r="V132" s="51" t="str">
        <f aca="false">IF($V$128="","",$V$128)</f>
        <v/>
      </c>
      <c r="W132" s="34" t="str">
        <f aca="false">IF($W$128="","",$W$128)</f>
        <v/>
      </c>
      <c r="X132" s="52" t="n">
        <v>46233.4534722222</v>
      </c>
      <c r="Y132" s="51" t="str">
        <f aca="false">IF($Y$128="","",$Y$128)</f>
        <v>Project Manager</v>
      </c>
    </row>
    <row r="133" customFormat="false" ht="15.75" hidden="false" customHeight="true" outlineLevel="0" collapsed="false">
      <c r="A133" s="46"/>
      <c r="B133" s="46" t="s">
        <v>30</v>
      </c>
      <c r="C133" s="46" t="str">
        <f aca="false">C128</f>
        <v>MEDIUM</v>
      </c>
      <c r="D133" s="46" t="str">
        <f aca="false">D128</f>
        <v>Developer 4</v>
      </c>
      <c r="E133" s="34" t="s">
        <v>9</v>
      </c>
      <c r="F133" s="47" t="n">
        <f aca="false">IF(E133="Completed",100%,IF(OR(E133="In Progress",E133="On Hold"),50%,0%))</f>
        <v>0</v>
      </c>
      <c r="G133" s="48" t="n">
        <f aca="false">H132+1+2*INT((WEEKDAY(H132,1)-1+1)/5)</f>
        <v>46378</v>
      </c>
      <c r="H133" s="48" t="n">
        <f aca="false">G133+(Settings!$B$11)-1+2*INT((WEEKDAY(G133,1)-1+(Settings!$B$11)-1)/5)</f>
        <v>46379</v>
      </c>
      <c r="I133" s="49"/>
      <c r="J133" s="49"/>
      <c r="K133" s="46" t="n">
        <f aca="true">IF(E133="Cancelled","",IF(J133&lt;&gt;"",J133-H133,IF(AND(E133&lt;&gt;"Completed",TODAY()&gt;H133),TODAY()-H133,0)))</f>
        <v>0</v>
      </c>
      <c r="L133" s="46" t="str">
        <f aca="false">IF(E133="Cancelled","Gray",IF(E133="On Hold","Red",IF(E133="Completed",IF(K133&gt;5,"Red",IF(K133&gt;0,"Amber","Green")),IF(K133&gt;5,"Red",IF(K133&gt;0,"Amber","Green")))))</f>
        <v>Green</v>
      </c>
      <c r="M133" s="50" t="s">
        <v>93</v>
      </c>
      <c r="N133" s="50"/>
      <c r="O133" s="34" t="str">
        <f aca="false">$O$128</f>
        <v>RPA-019</v>
      </c>
      <c r="P133" s="34"/>
      <c r="Q133" s="51"/>
      <c r="R133" s="34" t="s">
        <v>87</v>
      </c>
      <c r="S133" s="50"/>
      <c r="T133" s="50"/>
      <c r="U133" s="51" t="str">
        <f aca="false">$U$128</f>
        <v>Medium</v>
      </c>
      <c r="V133" s="51" t="str">
        <f aca="false">IF($V$128="","",$V$128)</f>
        <v/>
      </c>
      <c r="W133" s="34" t="str">
        <f aca="false">IF($W$128="","",$W$128)</f>
        <v/>
      </c>
      <c r="X133" s="52" t="n">
        <v>46233.4534722222</v>
      </c>
      <c r="Y133" s="51" t="str">
        <f aca="false">IF($Y$128="","",$Y$128)</f>
        <v>Project Manager</v>
      </c>
    </row>
    <row r="134" customFormat="false" ht="15.75" hidden="false" customHeight="true" outlineLevel="0" collapsed="false">
      <c r="A134" s="46"/>
      <c r="B134" s="46" t="s">
        <v>31</v>
      </c>
      <c r="C134" s="46" t="str">
        <f aca="false">C128</f>
        <v>MEDIUM</v>
      </c>
      <c r="D134" s="46" t="str">
        <f aca="false">D128</f>
        <v>Developer 4</v>
      </c>
      <c r="E134" s="34" t="s">
        <v>9</v>
      </c>
      <c r="F134" s="47" t="n">
        <f aca="false">IF(E134="Completed",100%,IF(OR(E134="In Progress",E134="On Hold"),50%,0%))</f>
        <v>0</v>
      </c>
      <c r="G134" s="48" t="n">
        <f aca="false">H133+1+2*INT((WEEKDAY(H133,1)-1+1)/5)</f>
        <v>46380</v>
      </c>
      <c r="H134" s="48" t="n">
        <f aca="false">G134+(Settings!$B$12)-1+2*INT((WEEKDAY(G134,1)-1+(Settings!$B$12)-1)/5)</f>
        <v>46380</v>
      </c>
      <c r="I134" s="49"/>
      <c r="J134" s="49"/>
      <c r="K134" s="46" t="n">
        <f aca="true">IF(E134="Cancelled","",IF(J134&lt;&gt;"",J134-H134,IF(AND(E134&lt;&gt;"Completed",TODAY()&gt;H134),TODAY()-H134,0)))</f>
        <v>0</v>
      </c>
      <c r="L134" s="46" t="str">
        <f aca="false">IF(E134="Cancelled","Gray",IF(E134="On Hold","Red",IF(E134="Completed",IF(K134&gt;5,"Red",IF(K134&gt;0,"Amber","Green")),IF(K134&gt;5,"Red",IF(K134&gt;0,"Amber","Green")))))</f>
        <v>Green</v>
      </c>
      <c r="M134" s="50" t="s">
        <v>92</v>
      </c>
      <c r="N134" s="50"/>
      <c r="O134" s="34" t="str">
        <f aca="false">$O$128</f>
        <v>RPA-019</v>
      </c>
      <c r="P134" s="34"/>
      <c r="Q134" s="51"/>
      <c r="R134" s="34" t="s">
        <v>87</v>
      </c>
      <c r="S134" s="50"/>
      <c r="T134" s="50"/>
      <c r="U134" s="51" t="str">
        <f aca="false">$U$128</f>
        <v>Medium</v>
      </c>
      <c r="V134" s="51" t="str">
        <f aca="false">IF($V$128="","",$V$128)</f>
        <v/>
      </c>
      <c r="W134" s="34" t="str">
        <f aca="false">IF($W$128="","",$W$128)</f>
        <v/>
      </c>
      <c r="X134" s="52" t="n">
        <v>46233.4534722222</v>
      </c>
      <c r="Y134" s="51" t="str">
        <f aca="false">IF($Y$128="","",$Y$128)</f>
        <v>Project Manager</v>
      </c>
    </row>
    <row r="135" customFormat="false" ht="15" hidden="false" customHeight="false" outlineLevel="0" collapsed="false">
      <c r="A135" s="41" t="s">
        <v>84</v>
      </c>
      <c r="B135" s="41" t="s">
        <v>85</v>
      </c>
      <c r="C135" s="41" t="str">
        <f aca="false">'Process Summary'!B23</f>
        <v>MEDIUM</v>
      </c>
      <c r="D135" s="41" t="str">
        <f aca="false">'Process Summary'!C23</f>
        <v>Developer 1</v>
      </c>
      <c r="E135" s="41" t="str">
        <f aca="false">IF(F135=100%,"Completed",IF(E136="On Hold","On Hold",IF(E137="On Hold","On Hold",IF(E138="On Hold","On Hold",IF(E139="On Hold","On Hold",IF(E140="On Hold","On Hold",IF(E141="On Hold","On Hold",IF(F135&gt;0%,"In Progress","Not Started"))))))))</f>
        <v>Not Started</v>
      </c>
      <c r="F135" s="42" t="n">
        <f aca="false">(F136*3+F137*5+F138+F139*IF(C135="LOW",13,IF(C135="MEDIUM",23,33))+F140*2+F141)/(12+IF(C135="LOW",13,IF(C135="MEDIUM",23,33)))</f>
        <v>0</v>
      </c>
      <c r="G135" s="43" t="n">
        <f aca="false">'Process Summary'!G23</f>
        <v>46344</v>
      </c>
      <c r="H135" s="43" t="n">
        <f aca="false">H141</f>
        <v>46380</v>
      </c>
      <c r="I135" s="43" t="str">
        <f aca="false">IF(COUNT(I136:I141)=0,"",MIN(I136:I141))</f>
        <v/>
      </c>
      <c r="J135" s="43" t="str">
        <f aca="false">IF(COUNT(J136:J141)=0,"",MAX(J136:J141))</f>
        <v/>
      </c>
      <c r="K135" s="41" t="n">
        <f aca="true">IF(E135="Cancelled","",IF(J135&lt;&gt;"",J135-H135,IF(AND(E135&lt;&gt;"Completed",TODAY()&gt;H135),TODAY()-H135,0)))</f>
        <v>0</v>
      </c>
      <c r="L135" s="41" t="str">
        <f aca="false">IF(E135="Cancelled","Gray",IF(E135="On Hold","Red",IF(E135="Completed",IF(K135&gt;5,"Red",IF(K135&gt;0,"Amber","Green")),IF(K135&gt;5,"Red",IF(K135&gt;0,"Amber","Green")))))</f>
        <v>Green</v>
      </c>
      <c r="M135" s="44"/>
      <c r="N135" s="44"/>
      <c r="O135" s="41" t="s">
        <v>113</v>
      </c>
      <c r="P135" s="41"/>
      <c r="Q135" s="41"/>
      <c r="R135" s="41" t="s">
        <v>87</v>
      </c>
      <c r="S135" s="44"/>
      <c r="T135" s="44"/>
      <c r="U135" s="41" t="s">
        <v>88</v>
      </c>
      <c r="V135" s="41"/>
      <c r="W135" s="41"/>
      <c r="X135" s="45" t="n">
        <v>46233.4534722222</v>
      </c>
      <c r="Y135" s="41" t="s">
        <v>89</v>
      </c>
    </row>
    <row r="136" customFormat="false" ht="15.75" hidden="false" customHeight="true" outlineLevel="0" collapsed="false">
      <c r="A136" s="51"/>
      <c r="B136" s="51" t="s">
        <v>22</v>
      </c>
      <c r="C136" s="51" t="str">
        <f aca="false">C135</f>
        <v>MEDIUM</v>
      </c>
      <c r="D136" s="51" t="str">
        <f aca="false">D135</f>
        <v>Developer 1</v>
      </c>
      <c r="E136" s="34" t="s">
        <v>9</v>
      </c>
      <c r="F136" s="53" t="n">
        <f aca="false">IF(E136="Completed",100%,IF(OR(E136="In Progress",E136="On Hold"),50%,0%))</f>
        <v>0</v>
      </c>
      <c r="G136" s="49" t="n">
        <f aca="false">G135</f>
        <v>46344</v>
      </c>
      <c r="H136" s="49" t="n">
        <f aca="false">G136+(Settings!$B$5)-1+2*INT((WEEKDAY(G136,1)-1+(Settings!$B$5)-1)/5)</f>
        <v>46348</v>
      </c>
      <c r="I136" s="49"/>
      <c r="J136" s="49"/>
      <c r="K136" s="51" t="n">
        <f aca="true">IF(E136="Cancelled","",IF(J136&lt;&gt;"",J136-H136,IF(AND(E136&lt;&gt;"Completed",TODAY()&gt;H136),TODAY()-H136,0)))</f>
        <v>0</v>
      </c>
      <c r="L136" s="51" t="str">
        <f aca="false">IF(E136="Cancelled","Gray",IF(E136="On Hold","Red",IF(E136="Completed",IF(K136&gt;5,"Red",IF(K136&gt;0,"Amber","Green")),IF(K136&gt;5,"Red",IF(K136&gt;0,"Amber","Green")))))</f>
        <v>Green</v>
      </c>
      <c r="M136" s="50" t="s">
        <v>90</v>
      </c>
      <c r="N136" s="50"/>
      <c r="O136" s="34" t="str">
        <f aca="false">$O$135</f>
        <v>RPA-020</v>
      </c>
      <c r="P136" s="34"/>
      <c r="Q136" s="51"/>
      <c r="R136" s="34" t="s">
        <v>87</v>
      </c>
      <c r="S136" s="50"/>
      <c r="T136" s="50"/>
      <c r="U136" s="51" t="str">
        <f aca="false">$U$135</f>
        <v>Medium</v>
      </c>
      <c r="V136" s="51" t="str">
        <f aca="false">IF($V$135="","",$V$135)</f>
        <v/>
      </c>
      <c r="W136" s="34" t="str">
        <f aca="false">IF($W$135="","",$W$135)</f>
        <v/>
      </c>
      <c r="X136" s="52" t="n">
        <v>46233.4534722222</v>
      </c>
      <c r="Y136" s="51" t="str">
        <f aca="false">IF($Y$135="","",$Y$135)</f>
        <v>Project Manager</v>
      </c>
    </row>
    <row r="137" customFormat="false" ht="15.75" hidden="false" customHeight="true" outlineLevel="0" collapsed="false">
      <c r="A137" s="51"/>
      <c r="B137" s="51" t="s">
        <v>24</v>
      </c>
      <c r="C137" s="51" t="str">
        <f aca="false">C135</f>
        <v>MEDIUM</v>
      </c>
      <c r="D137" s="51" t="str">
        <f aca="false">D135</f>
        <v>Developer 1</v>
      </c>
      <c r="E137" s="34" t="s">
        <v>9</v>
      </c>
      <c r="F137" s="53" t="n">
        <f aca="false">IF(E137="Completed",100%,IF(OR(E137="In Progress",E137="On Hold"),50%,0%))</f>
        <v>0</v>
      </c>
      <c r="G137" s="49" t="n">
        <f aca="false">H136+1+2*INT((WEEKDAY(H136,1)-1+1)/5)</f>
        <v>46349</v>
      </c>
      <c r="H137" s="49" t="n">
        <f aca="false">G137+(Settings!$B$6)-1+2*INT((WEEKDAY(G137,1)-1+(Settings!$B$6)-1)/5)</f>
        <v>46355</v>
      </c>
      <c r="I137" s="49"/>
      <c r="J137" s="49"/>
      <c r="K137" s="51" t="n">
        <f aca="true">IF(E137="Cancelled","",IF(J137&lt;&gt;"",J137-H137,IF(AND(E137&lt;&gt;"Completed",TODAY()&gt;H137),TODAY()-H137,0)))</f>
        <v>0</v>
      </c>
      <c r="L137" s="51" t="str">
        <f aca="false">IF(E137="Cancelled","Gray",IF(E137="On Hold","Red",IF(E137="Completed",IF(K137&gt;5,"Red",IF(K137&gt;0,"Amber","Green")),IF(K137&gt;5,"Red",IF(K137&gt;0,"Amber","Green")))))</f>
        <v>Green</v>
      </c>
      <c r="M137" s="50" t="s">
        <v>90</v>
      </c>
      <c r="N137" s="50"/>
      <c r="O137" s="34" t="str">
        <f aca="false">$O$135</f>
        <v>RPA-020</v>
      </c>
      <c r="P137" s="34"/>
      <c r="Q137" s="51"/>
      <c r="R137" s="34" t="s">
        <v>87</v>
      </c>
      <c r="S137" s="50"/>
      <c r="T137" s="50"/>
      <c r="U137" s="51" t="str">
        <f aca="false">$U$135</f>
        <v>Medium</v>
      </c>
      <c r="V137" s="51" t="str">
        <f aca="false">IF($V$135="","",$V$135)</f>
        <v/>
      </c>
      <c r="W137" s="34" t="str">
        <f aca="false">IF($W$135="","",$W$135)</f>
        <v/>
      </c>
      <c r="X137" s="52" t="n">
        <v>46233.4534722222</v>
      </c>
      <c r="Y137" s="51" t="str">
        <f aca="false">IF($Y$135="","",$Y$135)</f>
        <v>Project Manager</v>
      </c>
    </row>
    <row r="138" customFormat="false" ht="15.75" hidden="false" customHeight="true" outlineLevel="0" collapsed="false">
      <c r="A138" s="51"/>
      <c r="B138" s="51" t="s">
        <v>26</v>
      </c>
      <c r="C138" s="51" t="str">
        <f aca="false">C135</f>
        <v>MEDIUM</v>
      </c>
      <c r="D138" s="51" t="str">
        <f aca="false">D135</f>
        <v>Developer 1</v>
      </c>
      <c r="E138" s="34" t="s">
        <v>9</v>
      </c>
      <c r="F138" s="53" t="n">
        <f aca="false">IF(E138="Completed",100%,IF(OR(E138="In Progress",E138="On Hold"),50%,0%))</f>
        <v>0</v>
      </c>
      <c r="G138" s="49" t="n">
        <f aca="false">H137+1+2*INT((WEEKDAY(H137,1)-1+1)/5)</f>
        <v>46356</v>
      </c>
      <c r="H138" s="49" t="n">
        <f aca="false">G138+(Settings!$B$7)-1+2*INT((WEEKDAY(G138,1)-1+(Settings!$B$7)-1)/5)</f>
        <v>46356</v>
      </c>
      <c r="I138" s="49"/>
      <c r="J138" s="49"/>
      <c r="K138" s="51" t="n">
        <f aca="true">IF(E138="Cancelled","",IF(J138&lt;&gt;"",J138-H138,IF(AND(E138&lt;&gt;"Completed",TODAY()&gt;H138),TODAY()-H138,0)))</f>
        <v>0</v>
      </c>
      <c r="L138" s="51" t="str">
        <f aca="false">IF(E138="Cancelled","Gray",IF(E138="On Hold","Red",IF(E138="Completed",IF(K138&gt;5,"Red",IF(K138&gt;0,"Amber","Green")),IF(K138&gt;5,"Red",IF(K138&gt;0,"Amber","Green")))))</f>
        <v>Green</v>
      </c>
      <c r="M138" s="50" t="s">
        <v>91</v>
      </c>
      <c r="N138" s="50"/>
      <c r="O138" s="34" t="str">
        <f aca="false">$O$135</f>
        <v>RPA-020</v>
      </c>
      <c r="P138" s="34"/>
      <c r="Q138" s="51"/>
      <c r="R138" s="34" t="s">
        <v>87</v>
      </c>
      <c r="S138" s="50"/>
      <c r="T138" s="50"/>
      <c r="U138" s="51" t="str">
        <f aca="false">$U$135</f>
        <v>Medium</v>
      </c>
      <c r="V138" s="51" t="str">
        <f aca="false">IF($V$135="","",$V$135)</f>
        <v/>
      </c>
      <c r="W138" s="34" t="str">
        <f aca="false">IF($W$135="","",$W$135)</f>
        <v/>
      </c>
      <c r="X138" s="52" t="n">
        <v>46233.4534722222</v>
      </c>
      <c r="Y138" s="51" t="str">
        <f aca="false">IF($Y$135="","",$Y$135)</f>
        <v>Project Manager</v>
      </c>
    </row>
    <row r="139" customFormat="false" ht="15.75" hidden="false" customHeight="true" outlineLevel="0" collapsed="false">
      <c r="A139" s="51"/>
      <c r="B139" s="51" t="s">
        <v>28</v>
      </c>
      <c r="C139" s="51" t="str">
        <f aca="false">C135</f>
        <v>MEDIUM</v>
      </c>
      <c r="D139" s="51" t="str">
        <f aca="false">D135</f>
        <v>Developer 1</v>
      </c>
      <c r="E139" s="34" t="s">
        <v>9</v>
      </c>
      <c r="F139" s="53" t="n">
        <f aca="false">IF(E139="Completed",100%,IF(OR(E139="In Progress",E139="On Hold"),50%,0%))</f>
        <v>0</v>
      </c>
      <c r="G139" s="49" t="n">
        <f aca="false">H138+1+2*INT((WEEKDAY(H138,1)-1+1)/5)</f>
        <v>46357</v>
      </c>
      <c r="H139" s="49" t="n">
        <f aca="false">G139+(IF(C139="LOW",Settings!$B$8,IF(C139="MEDIUM",Settings!$B$9,Settings!$B$10)))-1+2*INT((WEEKDAY(G139,1)-1+(IF(C139="LOW",Settings!$B$8,IF(C139="MEDIUM",Settings!$B$9,Settings!$B$10)))-1)/5)</f>
        <v>46377</v>
      </c>
      <c r="I139" s="49"/>
      <c r="J139" s="49"/>
      <c r="K139" s="51" t="n">
        <f aca="true">IF(E139="Cancelled","",IF(J139&lt;&gt;"",J139-H139,IF(AND(E139&lt;&gt;"Completed",TODAY()&gt;H139),TODAY()-H139,0)))</f>
        <v>0</v>
      </c>
      <c r="L139" s="51" t="str">
        <f aca="false">IF(E139="Cancelled","Gray",IF(E139="On Hold","Red",IF(E139="Completed",IF(K139&gt;5,"Red",IF(K139&gt;0,"Amber","Green")),IF(K139&gt;5,"Red",IF(K139&gt;0,"Amber","Green")))))</f>
        <v>Green</v>
      </c>
      <c r="M139" s="50" t="s">
        <v>92</v>
      </c>
      <c r="N139" s="50"/>
      <c r="O139" s="34" t="str">
        <f aca="false">$O$135</f>
        <v>RPA-020</v>
      </c>
      <c r="P139" s="34"/>
      <c r="Q139" s="51"/>
      <c r="R139" s="34" t="s">
        <v>87</v>
      </c>
      <c r="S139" s="50"/>
      <c r="T139" s="50"/>
      <c r="U139" s="51" t="str">
        <f aca="false">$U$135</f>
        <v>Medium</v>
      </c>
      <c r="V139" s="51" t="str">
        <f aca="false">IF($V$135="","",$V$135)</f>
        <v/>
      </c>
      <c r="W139" s="34" t="str">
        <f aca="false">IF($W$135="","",$W$135)</f>
        <v/>
      </c>
      <c r="X139" s="52" t="n">
        <v>46233.4534722222</v>
      </c>
      <c r="Y139" s="51" t="str">
        <f aca="false">IF($Y$135="","",$Y$135)</f>
        <v>Project Manager</v>
      </c>
    </row>
    <row r="140" customFormat="false" ht="15.75" hidden="false" customHeight="true" outlineLevel="0" collapsed="false">
      <c r="A140" s="51"/>
      <c r="B140" s="51" t="s">
        <v>30</v>
      </c>
      <c r="C140" s="51" t="str">
        <f aca="false">C135</f>
        <v>MEDIUM</v>
      </c>
      <c r="D140" s="51" t="str">
        <f aca="false">D135</f>
        <v>Developer 1</v>
      </c>
      <c r="E140" s="34" t="s">
        <v>9</v>
      </c>
      <c r="F140" s="53" t="n">
        <f aca="false">IF(E140="Completed",100%,IF(OR(E140="In Progress",E140="On Hold"),50%,0%))</f>
        <v>0</v>
      </c>
      <c r="G140" s="49" t="n">
        <f aca="false">H139+1+2*INT((WEEKDAY(H139,1)-1+1)/5)</f>
        <v>46378</v>
      </c>
      <c r="H140" s="49" t="n">
        <f aca="false">G140+(Settings!$B$11)-1+2*INT((WEEKDAY(G140,1)-1+(Settings!$B$11)-1)/5)</f>
        <v>46379</v>
      </c>
      <c r="I140" s="49"/>
      <c r="J140" s="49"/>
      <c r="K140" s="51" t="n">
        <f aca="true">IF(E140="Cancelled","",IF(J140&lt;&gt;"",J140-H140,IF(AND(E140&lt;&gt;"Completed",TODAY()&gt;H140),TODAY()-H140,0)))</f>
        <v>0</v>
      </c>
      <c r="L140" s="51" t="str">
        <f aca="false">IF(E140="Cancelled","Gray",IF(E140="On Hold","Red",IF(E140="Completed",IF(K140&gt;5,"Red",IF(K140&gt;0,"Amber","Green")),IF(K140&gt;5,"Red",IF(K140&gt;0,"Amber","Green")))))</f>
        <v>Green</v>
      </c>
      <c r="M140" s="50" t="s">
        <v>93</v>
      </c>
      <c r="N140" s="50"/>
      <c r="O140" s="34" t="str">
        <f aca="false">$O$135</f>
        <v>RPA-020</v>
      </c>
      <c r="P140" s="34"/>
      <c r="Q140" s="51"/>
      <c r="R140" s="34" t="s">
        <v>87</v>
      </c>
      <c r="S140" s="50"/>
      <c r="T140" s="50"/>
      <c r="U140" s="51" t="str">
        <f aca="false">$U$135</f>
        <v>Medium</v>
      </c>
      <c r="V140" s="51" t="str">
        <f aca="false">IF($V$135="","",$V$135)</f>
        <v/>
      </c>
      <c r="W140" s="34" t="str">
        <f aca="false">IF($W$135="","",$W$135)</f>
        <v/>
      </c>
      <c r="X140" s="52" t="n">
        <v>46233.4534722222</v>
      </c>
      <c r="Y140" s="51" t="str">
        <f aca="false">IF($Y$135="","",$Y$135)</f>
        <v>Project Manager</v>
      </c>
    </row>
    <row r="141" customFormat="false" ht="15.75" hidden="false" customHeight="true" outlineLevel="0" collapsed="false">
      <c r="A141" s="51"/>
      <c r="B141" s="51" t="s">
        <v>31</v>
      </c>
      <c r="C141" s="51" t="str">
        <f aca="false">C135</f>
        <v>MEDIUM</v>
      </c>
      <c r="D141" s="51" t="str">
        <f aca="false">D135</f>
        <v>Developer 1</v>
      </c>
      <c r="E141" s="34" t="s">
        <v>9</v>
      </c>
      <c r="F141" s="53" t="n">
        <f aca="false">IF(E141="Completed",100%,IF(OR(E141="In Progress",E141="On Hold"),50%,0%))</f>
        <v>0</v>
      </c>
      <c r="G141" s="49" t="n">
        <f aca="false">H140+1+2*INT((WEEKDAY(H140,1)-1+1)/5)</f>
        <v>46380</v>
      </c>
      <c r="H141" s="49" t="n">
        <f aca="false">G141+(Settings!$B$12)-1+2*INT((WEEKDAY(G141,1)-1+(Settings!$B$12)-1)/5)</f>
        <v>46380</v>
      </c>
      <c r="I141" s="49"/>
      <c r="J141" s="49"/>
      <c r="K141" s="51" t="n">
        <f aca="true">IF(E141="Cancelled","",IF(J141&lt;&gt;"",J141-H141,IF(AND(E141&lt;&gt;"Completed",TODAY()&gt;H141),TODAY()-H141,0)))</f>
        <v>0</v>
      </c>
      <c r="L141" s="51" t="str">
        <f aca="false">IF(E141="Cancelled","Gray",IF(E141="On Hold","Red",IF(E141="Completed",IF(K141&gt;5,"Red",IF(K141&gt;0,"Amber","Green")),IF(K141&gt;5,"Red",IF(K141&gt;0,"Amber","Green")))))</f>
        <v>Green</v>
      </c>
      <c r="M141" s="50" t="s">
        <v>92</v>
      </c>
      <c r="N141" s="50"/>
      <c r="O141" s="34" t="str">
        <f aca="false">$O$135</f>
        <v>RPA-020</v>
      </c>
      <c r="P141" s="34"/>
      <c r="Q141" s="51"/>
      <c r="R141" s="34" t="s">
        <v>87</v>
      </c>
      <c r="S141" s="50"/>
      <c r="T141" s="50"/>
      <c r="U141" s="51" t="str">
        <f aca="false">$U$135</f>
        <v>Medium</v>
      </c>
      <c r="V141" s="51" t="str">
        <f aca="false">IF($V$135="","",$V$135)</f>
        <v/>
      </c>
      <c r="W141" s="34" t="str">
        <f aca="false">IF($W$135="","",$W$135)</f>
        <v/>
      </c>
      <c r="X141" s="52" t="n">
        <v>46233.4534722222</v>
      </c>
      <c r="Y141" s="51" t="str">
        <f aca="false">IF($Y$135="","",$Y$135)</f>
        <v>Project Manager</v>
      </c>
    </row>
    <row r="142" customFormat="false" ht="15" hidden="false" customHeight="false" outlineLevel="0" collapsed="false">
      <c r="A142" s="41" t="s">
        <v>84</v>
      </c>
      <c r="B142" s="41" t="s">
        <v>85</v>
      </c>
      <c r="C142" s="41" t="str">
        <f aca="false">'Process Summary'!B24</f>
        <v>MEDIUM</v>
      </c>
      <c r="D142" s="41" t="str">
        <f aca="false">'Process Summary'!C24</f>
        <v>Developer 2</v>
      </c>
      <c r="E142" s="41" t="str">
        <f aca="false">IF(F142=100%,"Completed",IF(E143="On Hold","On Hold",IF(E144="On Hold","On Hold",IF(E145="On Hold","On Hold",IF(E146="On Hold","On Hold",IF(E147="On Hold","On Hold",IF(E148="On Hold","On Hold",IF(F142&gt;0%,"In Progress","Not Started"))))))))</f>
        <v>Not Started</v>
      </c>
      <c r="F142" s="42" t="n">
        <f aca="false">(F143*3+F144*5+F145+F146*IF(C142="LOW",13,IF(C142="MEDIUM",23,33))+F147*2+F148)/(12+IF(C142="LOW",13,IF(C142="MEDIUM",23,33)))</f>
        <v>0</v>
      </c>
      <c r="G142" s="43" t="n">
        <f aca="false">'Process Summary'!G24</f>
        <v>46383</v>
      </c>
      <c r="H142" s="43" t="n">
        <f aca="false">H148</f>
        <v>46419</v>
      </c>
      <c r="I142" s="43" t="str">
        <f aca="false">IF(COUNT(I143:I148)=0,"",MIN(I143:I148))</f>
        <v/>
      </c>
      <c r="J142" s="43" t="str">
        <f aca="false">IF(COUNT(J143:J148)=0,"",MAX(J143:J148))</f>
        <v/>
      </c>
      <c r="K142" s="41" t="n">
        <f aca="true">IF(E142="Cancelled","",IF(J142&lt;&gt;"",J142-H142,IF(AND(E142&lt;&gt;"Completed",TODAY()&gt;H142),TODAY()-H142,0)))</f>
        <v>0</v>
      </c>
      <c r="L142" s="41" t="str">
        <f aca="false">IF(E142="Cancelled","Gray",IF(E142="On Hold","Red",IF(E142="Completed",IF(K142&gt;5,"Red",IF(K142&gt;0,"Amber","Green")),IF(K142&gt;5,"Red",IF(K142&gt;0,"Amber","Green")))))</f>
        <v>Green</v>
      </c>
      <c r="M142" s="44"/>
      <c r="N142" s="44"/>
      <c r="O142" s="41" t="s">
        <v>114</v>
      </c>
      <c r="P142" s="41"/>
      <c r="Q142" s="41"/>
      <c r="R142" s="41" t="s">
        <v>87</v>
      </c>
      <c r="S142" s="44"/>
      <c r="T142" s="44"/>
      <c r="U142" s="41" t="s">
        <v>88</v>
      </c>
      <c r="V142" s="41"/>
      <c r="W142" s="41"/>
      <c r="X142" s="45" t="n">
        <v>46233.4534722222</v>
      </c>
      <c r="Y142" s="41" t="s">
        <v>89</v>
      </c>
    </row>
    <row r="143" customFormat="false" ht="15.75" hidden="false" customHeight="true" outlineLevel="0" collapsed="false">
      <c r="A143" s="46"/>
      <c r="B143" s="46" t="s">
        <v>22</v>
      </c>
      <c r="C143" s="46" t="str">
        <f aca="false">C142</f>
        <v>MEDIUM</v>
      </c>
      <c r="D143" s="46" t="str">
        <f aca="false">D142</f>
        <v>Developer 2</v>
      </c>
      <c r="E143" s="34" t="s">
        <v>9</v>
      </c>
      <c r="F143" s="47" t="n">
        <f aca="false">IF(E143="Completed",100%,IF(OR(E143="In Progress",E143="On Hold"),50%,0%))</f>
        <v>0</v>
      </c>
      <c r="G143" s="48" t="n">
        <f aca="false">G142</f>
        <v>46383</v>
      </c>
      <c r="H143" s="48" t="n">
        <f aca="false">G143+(Settings!$B$5)-1+2*INT((WEEKDAY(G143,1)-1+(Settings!$B$5)-1)/5)</f>
        <v>46385</v>
      </c>
      <c r="I143" s="49"/>
      <c r="J143" s="49"/>
      <c r="K143" s="46" t="n">
        <f aca="true">IF(E143="Cancelled","",IF(J143&lt;&gt;"",J143-H143,IF(AND(E143&lt;&gt;"Completed",TODAY()&gt;H143),TODAY()-H143,0)))</f>
        <v>0</v>
      </c>
      <c r="L143" s="46" t="str">
        <f aca="false">IF(E143="Cancelled","Gray",IF(E143="On Hold","Red",IF(E143="Completed",IF(K143&gt;5,"Red",IF(K143&gt;0,"Amber","Green")),IF(K143&gt;5,"Red",IF(K143&gt;0,"Amber","Green")))))</f>
        <v>Green</v>
      </c>
      <c r="M143" s="50" t="s">
        <v>90</v>
      </c>
      <c r="N143" s="50"/>
      <c r="O143" s="34" t="str">
        <f aca="false">$O$142</f>
        <v>RPA-021</v>
      </c>
      <c r="P143" s="34"/>
      <c r="Q143" s="51"/>
      <c r="R143" s="34" t="s">
        <v>87</v>
      </c>
      <c r="S143" s="50"/>
      <c r="T143" s="50"/>
      <c r="U143" s="51" t="str">
        <f aca="false">$U$142</f>
        <v>Medium</v>
      </c>
      <c r="V143" s="51" t="str">
        <f aca="false">IF($V$142="","",$V$142)</f>
        <v/>
      </c>
      <c r="W143" s="34" t="str">
        <f aca="false">IF($W$142="","",$W$142)</f>
        <v/>
      </c>
      <c r="X143" s="52" t="n">
        <v>46233.4534722222</v>
      </c>
      <c r="Y143" s="51" t="str">
        <f aca="false">IF($Y$142="","",$Y$142)</f>
        <v>Project Manager</v>
      </c>
    </row>
    <row r="144" customFormat="false" ht="15.75" hidden="false" customHeight="true" outlineLevel="0" collapsed="false">
      <c r="A144" s="46"/>
      <c r="B144" s="46" t="s">
        <v>24</v>
      </c>
      <c r="C144" s="46" t="str">
        <f aca="false">C142</f>
        <v>MEDIUM</v>
      </c>
      <c r="D144" s="46" t="str">
        <f aca="false">D142</f>
        <v>Developer 2</v>
      </c>
      <c r="E144" s="34" t="s">
        <v>9</v>
      </c>
      <c r="F144" s="47" t="n">
        <f aca="false">IF(E144="Completed",100%,IF(OR(E144="In Progress",E144="On Hold"),50%,0%))</f>
        <v>0</v>
      </c>
      <c r="G144" s="48" t="n">
        <f aca="false">H143+1+2*INT((WEEKDAY(H143,1)-1+1)/5)</f>
        <v>46386</v>
      </c>
      <c r="H144" s="48" t="n">
        <f aca="false">G144+(Settings!$B$6)-1+2*INT((WEEKDAY(G144,1)-1+(Settings!$B$6)-1)/5)</f>
        <v>46392</v>
      </c>
      <c r="I144" s="49"/>
      <c r="J144" s="49"/>
      <c r="K144" s="46" t="n">
        <f aca="true">IF(E144="Cancelled","",IF(J144&lt;&gt;"",J144-H144,IF(AND(E144&lt;&gt;"Completed",TODAY()&gt;H144),TODAY()-H144,0)))</f>
        <v>0</v>
      </c>
      <c r="L144" s="46" t="str">
        <f aca="false">IF(E144="Cancelled","Gray",IF(E144="On Hold","Red",IF(E144="Completed",IF(K144&gt;5,"Red",IF(K144&gt;0,"Amber","Green")),IF(K144&gt;5,"Red",IF(K144&gt;0,"Amber","Green")))))</f>
        <v>Green</v>
      </c>
      <c r="M144" s="50" t="s">
        <v>90</v>
      </c>
      <c r="N144" s="50"/>
      <c r="O144" s="34" t="str">
        <f aca="false">$O$142</f>
        <v>RPA-021</v>
      </c>
      <c r="P144" s="34"/>
      <c r="Q144" s="51"/>
      <c r="R144" s="34" t="s">
        <v>87</v>
      </c>
      <c r="S144" s="50"/>
      <c r="T144" s="50"/>
      <c r="U144" s="51" t="str">
        <f aca="false">$U$142</f>
        <v>Medium</v>
      </c>
      <c r="V144" s="51" t="str">
        <f aca="false">IF($V$142="","",$V$142)</f>
        <v/>
      </c>
      <c r="W144" s="34" t="str">
        <f aca="false">IF($W$142="","",$W$142)</f>
        <v/>
      </c>
      <c r="X144" s="52" t="n">
        <v>46233.4534722222</v>
      </c>
      <c r="Y144" s="51" t="str">
        <f aca="false">IF($Y$142="","",$Y$142)</f>
        <v>Project Manager</v>
      </c>
    </row>
    <row r="145" customFormat="false" ht="15.75" hidden="false" customHeight="true" outlineLevel="0" collapsed="false">
      <c r="A145" s="46"/>
      <c r="B145" s="46" t="s">
        <v>26</v>
      </c>
      <c r="C145" s="46" t="str">
        <f aca="false">C142</f>
        <v>MEDIUM</v>
      </c>
      <c r="D145" s="46" t="str">
        <f aca="false">D142</f>
        <v>Developer 2</v>
      </c>
      <c r="E145" s="34" t="s">
        <v>9</v>
      </c>
      <c r="F145" s="47" t="n">
        <f aca="false">IF(E145="Completed",100%,IF(OR(E145="In Progress",E145="On Hold"),50%,0%))</f>
        <v>0</v>
      </c>
      <c r="G145" s="48" t="n">
        <f aca="false">H144+1+2*INT((WEEKDAY(H144,1)-1+1)/5)</f>
        <v>46393</v>
      </c>
      <c r="H145" s="48" t="n">
        <f aca="false">G145+(Settings!$B$7)-1+2*INT((WEEKDAY(G145,1)-1+(Settings!$B$7)-1)/5)</f>
        <v>46393</v>
      </c>
      <c r="I145" s="49"/>
      <c r="J145" s="49"/>
      <c r="K145" s="46" t="n">
        <f aca="true">IF(E145="Cancelled","",IF(J145&lt;&gt;"",J145-H145,IF(AND(E145&lt;&gt;"Completed",TODAY()&gt;H145),TODAY()-H145,0)))</f>
        <v>0</v>
      </c>
      <c r="L145" s="46" t="str">
        <f aca="false">IF(E145="Cancelled","Gray",IF(E145="On Hold","Red",IF(E145="Completed",IF(K145&gt;5,"Red",IF(K145&gt;0,"Amber","Green")),IF(K145&gt;5,"Red",IF(K145&gt;0,"Amber","Green")))))</f>
        <v>Green</v>
      </c>
      <c r="M145" s="50" t="s">
        <v>91</v>
      </c>
      <c r="N145" s="50"/>
      <c r="O145" s="34" t="str">
        <f aca="false">$O$142</f>
        <v>RPA-021</v>
      </c>
      <c r="P145" s="34"/>
      <c r="Q145" s="51"/>
      <c r="R145" s="34" t="s">
        <v>87</v>
      </c>
      <c r="S145" s="50"/>
      <c r="T145" s="50"/>
      <c r="U145" s="51" t="str">
        <f aca="false">$U$142</f>
        <v>Medium</v>
      </c>
      <c r="V145" s="51" t="str">
        <f aca="false">IF($V$142="","",$V$142)</f>
        <v/>
      </c>
      <c r="W145" s="34" t="str">
        <f aca="false">IF($W$142="","",$W$142)</f>
        <v/>
      </c>
      <c r="X145" s="52" t="n">
        <v>46233.4534722222</v>
      </c>
      <c r="Y145" s="51" t="str">
        <f aca="false">IF($Y$142="","",$Y$142)</f>
        <v>Project Manager</v>
      </c>
    </row>
    <row r="146" customFormat="false" ht="15.75" hidden="false" customHeight="true" outlineLevel="0" collapsed="false">
      <c r="A146" s="46"/>
      <c r="B146" s="46" t="s">
        <v>28</v>
      </c>
      <c r="C146" s="46" t="str">
        <f aca="false">C142</f>
        <v>MEDIUM</v>
      </c>
      <c r="D146" s="46" t="str">
        <f aca="false">D142</f>
        <v>Developer 2</v>
      </c>
      <c r="E146" s="34" t="s">
        <v>9</v>
      </c>
      <c r="F146" s="47" t="n">
        <f aca="false">IF(E146="Completed",100%,IF(OR(E146="In Progress",E146="On Hold"),50%,0%))</f>
        <v>0</v>
      </c>
      <c r="G146" s="48" t="n">
        <f aca="false">H145+1+2*INT((WEEKDAY(H145,1)-1+1)/5)</f>
        <v>46394</v>
      </c>
      <c r="H146" s="48" t="n">
        <f aca="false">G146+(IF(C146="LOW",Settings!$B$8,IF(C146="MEDIUM",Settings!$B$9,Settings!$B$10)))-1+2*INT((WEEKDAY(G146,1)-1+(IF(C146="LOW",Settings!$B$8,IF(C146="MEDIUM",Settings!$B$9,Settings!$B$10)))-1)/5)</f>
        <v>46414</v>
      </c>
      <c r="I146" s="49"/>
      <c r="J146" s="49"/>
      <c r="K146" s="46" t="n">
        <f aca="true">IF(E146="Cancelled","",IF(J146&lt;&gt;"",J146-H146,IF(AND(E146&lt;&gt;"Completed",TODAY()&gt;H146),TODAY()-H146,0)))</f>
        <v>0</v>
      </c>
      <c r="L146" s="46" t="str">
        <f aca="false">IF(E146="Cancelled","Gray",IF(E146="On Hold","Red",IF(E146="Completed",IF(K146&gt;5,"Red",IF(K146&gt;0,"Amber","Green")),IF(K146&gt;5,"Red",IF(K146&gt;0,"Amber","Green")))))</f>
        <v>Green</v>
      </c>
      <c r="M146" s="50" t="s">
        <v>92</v>
      </c>
      <c r="N146" s="50"/>
      <c r="O146" s="34" t="str">
        <f aca="false">$O$142</f>
        <v>RPA-021</v>
      </c>
      <c r="P146" s="34"/>
      <c r="Q146" s="51"/>
      <c r="R146" s="34" t="s">
        <v>87</v>
      </c>
      <c r="S146" s="50"/>
      <c r="T146" s="50"/>
      <c r="U146" s="51" t="str">
        <f aca="false">$U$142</f>
        <v>Medium</v>
      </c>
      <c r="V146" s="51" t="str">
        <f aca="false">IF($V$142="","",$V$142)</f>
        <v/>
      </c>
      <c r="W146" s="34" t="str">
        <f aca="false">IF($W$142="","",$W$142)</f>
        <v/>
      </c>
      <c r="X146" s="52" t="n">
        <v>46233.4534722222</v>
      </c>
      <c r="Y146" s="51" t="str">
        <f aca="false">IF($Y$142="","",$Y$142)</f>
        <v>Project Manager</v>
      </c>
    </row>
    <row r="147" customFormat="false" ht="15.75" hidden="false" customHeight="true" outlineLevel="0" collapsed="false">
      <c r="A147" s="46"/>
      <c r="B147" s="46" t="s">
        <v>30</v>
      </c>
      <c r="C147" s="46" t="str">
        <f aca="false">C142</f>
        <v>MEDIUM</v>
      </c>
      <c r="D147" s="46" t="str">
        <f aca="false">D142</f>
        <v>Developer 2</v>
      </c>
      <c r="E147" s="34" t="s">
        <v>9</v>
      </c>
      <c r="F147" s="47" t="n">
        <f aca="false">IF(E147="Completed",100%,IF(OR(E147="In Progress",E147="On Hold"),50%,0%))</f>
        <v>0</v>
      </c>
      <c r="G147" s="48" t="n">
        <f aca="false">H146+1+2*INT((WEEKDAY(H146,1)-1+1)/5)</f>
        <v>46415</v>
      </c>
      <c r="H147" s="48" t="n">
        <f aca="false">G147+(Settings!$B$11)-1+2*INT((WEEKDAY(G147,1)-1+(Settings!$B$11)-1)/5)</f>
        <v>46418</v>
      </c>
      <c r="I147" s="49"/>
      <c r="J147" s="49"/>
      <c r="K147" s="46" t="n">
        <f aca="true">IF(E147="Cancelled","",IF(J147&lt;&gt;"",J147-H147,IF(AND(E147&lt;&gt;"Completed",TODAY()&gt;H147),TODAY()-H147,0)))</f>
        <v>0</v>
      </c>
      <c r="L147" s="46" t="str">
        <f aca="false">IF(E147="Cancelled","Gray",IF(E147="On Hold","Red",IF(E147="Completed",IF(K147&gt;5,"Red",IF(K147&gt;0,"Amber","Green")),IF(K147&gt;5,"Red",IF(K147&gt;0,"Amber","Green")))))</f>
        <v>Green</v>
      </c>
      <c r="M147" s="50" t="s">
        <v>93</v>
      </c>
      <c r="N147" s="50"/>
      <c r="O147" s="34" t="str">
        <f aca="false">$O$142</f>
        <v>RPA-021</v>
      </c>
      <c r="P147" s="34"/>
      <c r="Q147" s="51"/>
      <c r="R147" s="34" t="s">
        <v>87</v>
      </c>
      <c r="S147" s="50"/>
      <c r="T147" s="50"/>
      <c r="U147" s="51" t="str">
        <f aca="false">$U$142</f>
        <v>Medium</v>
      </c>
      <c r="V147" s="51" t="str">
        <f aca="false">IF($V$142="","",$V$142)</f>
        <v/>
      </c>
      <c r="W147" s="34" t="str">
        <f aca="false">IF($W$142="","",$W$142)</f>
        <v/>
      </c>
      <c r="X147" s="52" t="n">
        <v>46233.4534722222</v>
      </c>
      <c r="Y147" s="51" t="str">
        <f aca="false">IF($Y$142="","",$Y$142)</f>
        <v>Project Manager</v>
      </c>
    </row>
    <row r="148" customFormat="false" ht="15.75" hidden="false" customHeight="true" outlineLevel="0" collapsed="false">
      <c r="A148" s="46"/>
      <c r="B148" s="46" t="s">
        <v>31</v>
      </c>
      <c r="C148" s="46" t="str">
        <f aca="false">C142</f>
        <v>MEDIUM</v>
      </c>
      <c r="D148" s="46" t="str">
        <f aca="false">D142</f>
        <v>Developer 2</v>
      </c>
      <c r="E148" s="34" t="s">
        <v>9</v>
      </c>
      <c r="F148" s="47" t="n">
        <f aca="false">IF(E148="Completed",100%,IF(OR(E148="In Progress",E148="On Hold"),50%,0%))</f>
        <v>0</v>
      </c>
      <c r="G148" s="48" t="n">
        <f aca="false">H147+1+2*INT((WEEKDAY(H147,1)-1+1)/5)</f>
        <v>46419</v>
      </c>
      <c r="H148" s="48" t="n">
        <f aca="false">G148+(Settings!$B$12)-1+2*INT((WEEKDAY(G148,1)-1+(Settings!$B$12)-1)/5)</f>
        <v>46419</v>
      </c>
      <c r="I148" s="49"/>
      <c r="J148" s="49"/>
      <c r="K148" s="46" t="n">
        <f aca="true">IF(E148="Cancelled","",IF(J148&lt;&gt;"",J148-H148,IF(AND(E148&lt;&gt;"Completed",TODAY()&gt;H148),TODAY()-H148,0)))</f>
        <v>0</v>
      </c>
      <c r="L148" s="46" t="str">
        <f aca="false">IF(E148="Cancelled","Gray",IF(E148="On Hold","Red",IF(E148="Completed",IF(K148&gt;5,"Red",IF(K148&gt;0,"Amber","Green")),IF(K148&gt;5,"Red",IF(K148&gt;0,"Amber","Green")))))</f>
        <v>Green</v>
      </c>
      <c r="M148" s="50" t="s">
        <v>92</v>
      </c>
      <c r="N148" s="50"/>
      <c r="O148" s="34" t="str">
        <f aca="false">$O$142</f>
        <v>RPA-021</v>
      </c>
      <c r="P148" s="34"/>
      <c r="Q148" s="51"/>
      <c r="R148" s="34" t="s">
        <v>87</v>
      </c>
      <c r="S148" s="50"/>
      <c r="T148" s="50"/>
      <c r="U148" s="51" t="str">
        <f aca="false">$U$142</f>
        <v>Medium</v>
      </c>
      <c r="V148" s="51" t="str">
        <f aca="false">IF($V$142="","",$V$142)</f>
        <v/>
      </c>
      <c r="W148" s="34" t="str">
        <f aca="false">IF($W$142="","",$W$142)</f>
        <v/>
      </c>
      <c r="X148" s="52" t="n">
        <v>46233.4534722222</v>
      </c>
      <c r="Y148" s="51" t="str">
        <f aca="false">IF($Y$142="","",$Y$142)</f>
        <v>Project Manager</v>
      </c>
    </row>
    <row r="149" customFormat="false" ht="15" hidden="false" customHeight="false" outlineLevel="0" collapsed="false">
      <c r="A149" s="41" t="s">
        <v>54</v>
      </c>
      <c r="B149" s="41" t="s">
        <v>85</v>
      </c>
      <c r="C149" s="41" t="str">
        <f aca="false">'Process Summary'!B25</f>
        <v>LOW</v>
      </c>
      <c r="D149" s="41" t="str">
        <f aca="false">'Process Summary'!C25</f>
        <v>Developer 3</v>
      </c>
      <c r="E149" s="41" t="str">
        <f aca="false">IF(F149=100%,"Completed",IF(E150="On Hold","On Hold",IF(E151="On Hold","On Hold",IF(E152="On Hold","On Hold",IF(E153="On Hold","On Hold",IF(E154="On Hold","On Hold",IF(E155="On Hold","On Hold",IF(F149&gt;0%,"In Progress","Not Started"))))))))</f>
        <v>Not Started</v>
      </c>
      <c r="F149" s="42" t="n">
        <f aca="false">(F150*3+F151*5+F152+F153*IF(C149="LOW",13,IF(C149="MEDIUM",23,33))+F154*2+F155)/(12+IF(C149="LOW",13,IF(C149="MEDIUM",23,33)))</f>
        <v>0</v>
      </c>
      <c r="G149" s="43" t="n">
        <f aca="false">'Process Summary'!G25</f>
        <v>46383</v>
      </c>
      <c r="H149" s="43" t="n">
        <f aca="false">H155</f>
        <v>46412</v>
      </c>
      <c r="I149" s="43" t="str">
        <f aca="false">IF(COUNT(I150:I155)=0,"",MIN(I150:I155))</f>
        <v/>
      </c>
      <c r="J149" s="43" t="str">
        <f aca="false">IF(COUNT(J150:J155)=0,"",MAX(J150:J155))</f>
        <v/>
      </c>
      <c r="K149" s="41" t="n">
        <f aca="true">IF(E149="Cancelled","",IF(J149&lt;&gt;"",J149-H149,IF(AND(E149&lt;&gt;"Completed",TODAY()&gt;H149),TODAY()-H149,0)))</f>
        <v>0</v>
      </c>
      <c r="L149" s="41" t="str">
        <f aca="false">IF(E149="Cancelled","Gray",IF(E149="On Hold","Red",IF(E149="Completed",IF(K149&gt;5,"Red",IF(K149&gt;0,"Amber","Green")),IF(K149&gt;5,"Red",IF(K149&gt;0,"Amber","Green")))))</f>
        <v>Green</v>
      </c>
      <c r="M149" s="44"/>
      <c r="N149" s="44"/>
      <c r="O149" s="41" t="s">
        <v>115</v>
      </c>
      <c r="P149" s="41"/>
      <c r="Q149" s="41"/>
      <c r="R149" s="41" t="s">
        <v>87</v>
      </c>
      <c r="S149" s="44"/>
      <c r="T149" s="44"/>
      <c r="U149" s="41" t="s">
        <v>88</v>
      </c>
      <c r="V149" s="41"/>
      <c r="W149" s="41"/>
      <c r="X149" s="45" t="n">
        <v>46233.4534722222</v>
      </c>
      <c r="Y149" s="41" t="s">
        <v>89</v>
      </c>
    </row>
    <row r="150" customFormat="false" ht="15.75" hidden="false" customHeight="true" outlineLevel="0" collapsed="false">
      <c r="A150" s="51"/>
      <c r="B150" s="51" t="s">
        <v>22</v>
      </c>
      <c r="C150" s="51" t="str">
        <f aca="false">C149</f>
        <v>LOW</v>
      </c>
      <c r="D150" s="51" t="str">
        <f aca="false">D149</f>
        <v>Developer 3</v>
      </c>
      <c r="E150" s="34" t="s">
        <v>9</v>
      </c>
      <c r="F150" s="53" t="n">
        <f aca="false">IF(E150="Completed",100%,IF(OR(E150="In Progress",E150="On Hold"),50%,0%))</f>
        <v>0</v>
      </c>
      <c r="G150" s="49" t="n">
        <f aca="false">G149</f>
        <v>46383</v>
      </c>
      <c r="H150" s="49" t="n">
        <f aca="false">G150+(Settings!$B$5)-1+2*INT((WEEKDAY(G150,1)-1+(Settings!$B$5)-1)/5)</f>
        <v>46385</v>
      </c>
      <c r="I150" s="49"/>
      <c r="J150" s="49"/>
      <c r="K150" s="51" t="n">
        <f aca="true">IF(E150="Cancelled","",IF(J150&lt;&gt;"",J150-H150,IF(AND(E150&lt;&gt;"Completed",TODAY()&gt;H150),TODAY()-H150,0)))</f>
        <v>0</v>
      </c>
      <c r="L150" s="51" t="str">
        <f aca="false">IF(E150="Cancelled","Gray",IF(E150="On Hold","Red",IF(E150="Completed",IF(K150&gt;5,"Red",IF(K150&gt;0,"Amber","Green")),IF(K150&gt;5,"Red",IF(K150&gt;0,"Amber","Green")))))</f>
        <v>Green</v>
      </c>
      <c r="M150" s="50" t="s">
        <v>90</v>
      </c>
      <c r="N150" s="50"/>
      <c r="O150" s="34" t="str">
        <f aca="false">$O$149</f>
        <v>RPA-022</v>
      </c>
      <c r="P150" s="34"/>
      <c r="Q150" s="51"/>
      <c r="R150" s="34" t="s">
        <v>87</v>
      </c>
      <c r="S150" s="50"/>
      <c r="T150" s="50"/>
      <c r="U150" s="51" t="str">
        <f aca="false">$U$149</f>
        <v>Medium</v>
      </c>
      <c r="V150" s="51" t="str">
        <f aca="false">IF($V$149="","",$V$149)</f>
        <v/>
      </c>
      <c r="W150" s="34" t="str">
        <f aca="false">IF($W$149="","",$W$149)</f>
        <v/>
      </c>
      <c r="X150" s="52" t="n">
        <v>46233.4534722222</v>
      </c>
      <c r="Y150" s="51" t="str">
        <f aca="false">IF($Y$149="","",$Y$149)</f>
        <v>Project Manager</v>
      </c>
    </row>
    <row r="151" customFormat="false" ht="15.75" hidden="false" customHeight="true" outlineLevel="0" collapsed="false">
      <c r="A151" s="51"/>
      <c r="B151" s="51" t="s">
        <v>24</v>
      </c>
      <c r="C151" s="51" t="str">
        <f aca="false">C149</f>
        <v>LOW</v>
      </c>
      <c r="D151" s="51" t="str">
        <f aca="false">D149</f>
        <v>Developer 3</v>
      </c>
      <c r="E151" s="34" t="s">
        <v>9</v>
      </c>
      <c r="F151" s="53" t="n">
        <f aca="false">IF(E151="Completed",100%,IF(OR(E151="In Progress",E151="On Hold"),50%,0%))</f>
        <v>0</v>
      </c>
      <c r="G151" s="49" t="n">
        <f aca="false">H150+1+2*INT((WEEKDAY(H150,1)-1+1)/5)</f>
        <v>46386</v>
      </c>
      <c r="H151" s="49" t="n">
        <f aca="false">G151+(Settings!$B$6)-1+2*INT((WEEKDAY(G151,1)-1+(Settings!$B$6)-1)/5)</f>
        <v>46392</v>
      </c>
      <c r="I151" s="49"/>
      <c r="J151" s="49"/>
      <c r="K151" s="51" t="n">
        <f aca="true">IF(E151="Cancelled","",IF(J151&lt;&gt;"",J151-H151,IF(AND(E151&lt;&gt;"Completed",TODAY()&gt;H151),TODAY()-H151,0)))</f>
        <v>0</v>
      </c>
      <c r="L151" s="51" t="str">
        <f aca="false">IF(E151="Cancelled","Gray",IF(E151="On Hold","Red",IF(E151="Completed",IF(K151&gt;5,"Red",IF(K151&gt;0,"Amber","Green")),IF(K151&gt;5,"Red",IF(K151&gt;0,"Amber","Green")))))</f>
        <v>Green</v>
      </c>
      <c r="M151" s="50" t="s">
        <v>90</v>
      </c>
      <c r="N151" s="50"/>
      <c r="O151" s="34" t="str">
        <f aca="false">$O$149</f>
        <v>RPA-022</v>
      </c>
      <c r="P151" s="34"/>
      <c r="Q151" s="51"/>
      <c r="R151" s="34" t="s">
        <v>87</v>
      </c>
      <c r="S151" s="50"/>
      <c r="T151" s="50"/>
      <c r="U151" s="51" t="str">
        <f aca="false">$U$149</f>
        <v>Medium</v>
      </c>
      <c r="V151" s="51" t="str">
        <f aca="false">IF($V$149="","",$V$149)</f>
        <v/>
      </c>
      <c r="W151" s="34" t="str">
        <f aca="false">IF($W$149="","",$W$149)</f>
        <v/>
      </c>
      <c r="X151" s="52" t="n">
        <v>46233.4534722222</v>
      </c>
      <c r="Y151" s="51" t="str">
        <f aca="false">IF($Y$149="","",$Y$149)</f>
        <v>Project Manager</v>
      </c>
    </row>
    <row r="152" customFormat="false" ht="15.75" hidden="false" customHeight="true" outlineLevel="0" collapsed="false">
      <c r="A152" s="51"/>
      <c r="B152" s="51" t="s">
        <v>26</v>
      </c>
      <c r="C152" s="51" t="str">
        <f aca="false">C149</f>
        <v>LOW</v>
      </c>
      <c r="D152" s="51" t="str">
        <f aca="false">D149</f>
        <v>Developer 3</v>
      </c>
      <c r="E152" s="34" t="s">
        <v>9</v>
      </c>
      <c r="F152" s="53" t="n">
        <f aca="false">IF(E152="Completed",100%,IF(OR(E152="In Progress",E152="On Hold"),50%,0%))</f>
        <v>0</v>
      </c>
      <c r="G152" s="49" t="n">
        <f aca="false">H151+1+2*INT((WEEKDAY(H151,1)-1+1)/5)</f>
        <v>46393</v>
      </c>
      <c r="H152" s="49" t="n">
        <f aca="false">G152+(Settings!$B$7)-1+2*INT((WEEKDAY(G152,1)-1+(Settings!$B$7)-1)/5)</f>
        <v>46393</v>
      </c>
      <c r="I152" s="49"/>
      <c r="J152" s="49"/>
      <c r="K152" s="51" t="n">
        <f aca="true">IF(E152="Cancelled","",IF(J152&lt;&gt;"",J152-H152,IF(AND(E152&lt;&gt;"Completed",TODAY()&gt;H152),TODAY()-H152,0)))</f>
        <v>0</v>
      </c>
      <c r="L152" s="51" t="str">
        <f aca="false">IF(E152="Cancelled","Gray",IF(E152="On Hold","Red",IF(E152="Completed",IF(K152&gt;5,"Red",IF(K152&gt;0,"Amber","Green")),IF(K152&gt;5,"Red",IF(K152&gt;0,"Amber","Green")))))</f>
        <v>Green</v>
      </c>
      <c r="M152" s="50" t="s">
        <v>91</v>
      </c>
      <c r="N152" s="50"/>
      <c r="O152" s="34" t="str">
        <f aca="false">$O$149</f>
        <v>RPA-022</v>
      </c>
      <c r="P152" s="34"/>
      <c r="Q152" s="51"/>
      <c r="R152" s="34" t="s">
        <v>87</v>
      </c>
      <c r="S152" s="50"/>
      <c r="T152" s="50"/>
      <c r="U152" s="51" t="str">
        <f aca="false">$U$149</f>
        <v>Medium</v>
      </c>
      <c r="V152" s="51" t="str">
        <f aca="false">IF($V$149="","",$V$149)</f>
        <v/>
      </c>
      <c r="W152" s="34" t="str">
        <f aca="false">IF($W$149="","",$W$149)</f>
        <v/>
      </c>
      <c r="X152" s="52" t="n">
        <v>46233.4534722222</v>
      </c>
      <c r="Y152" s="51" t="str">
        <f aca="false">IF($Y$149="","",$Y$149)</f>
        <v>Project Manager</v>
      </c>
    </row>
    <row r="153" customFormat="false" ht="15.75" hidden="false" customHeight="true" outlineLevel="0" collapsed="false">
      <c r="A153" s="51"/>
      <c r="B153" s="51" t="s">
        <v>28</v>
      </c>
      <c r="C153" s="51" t="str">
        <f aca="false">C149</f>
        <v>LOW</v>
      </c>
      <c r="D153" s="51" t="str">
        <f aca="false">D149</f>
        <v>Developer 3</v>
      </c>
      <c r="E153" s="34" t="s">
        <v>9</v>
      </c>
      <c r="F153" s="53" t="n">
        <f aca="false">IF(E153="Completed",100%,IF(OR(E153="In Progress",E153="On Hold"),50%,0%))</f>
        <v>0</v>
      </c>
      <c r="G153" s="49" t="n">
        <f aca="false">H152+1+2*INT((WEEKDAY(H152,1)-1+1)/5)</f>
        <v>46394</v>
      </c>
      <c r="H153" s="49" t="n">
        <f aca="false">G153+(IF(C153="LOW",Settings!$B$8,IF(C153="MEDIUM",Settings!$B$9,Settings!$B$10)))-1+2*INT((WEEKDAY(G153,1)-1+(IF(C153="LOW",Settings!$B$8,IF(C153="MEDIUM",Settings!$B$9,Settings!$B$10)))-1)/5)</f>
        <v>46407</v>
      </c>
      <c r="I153" s="49"/>
      <c r="J153" s="49"/>
      <c r="K153" s="51" t="n">
        <f aca="true">IF(E153="Cancelled","",IF(J153&lt;&gt;"",J153-H153,IF(AND(E153&lt;&gt;"Completed",TODAY()&gt;H153),TODAY()-H153,0)))</f>
        <v>0</v>
      </c>
      <c r="L153" s="51" t="str">
        <f aca="false">IF(E153="Cancelled","Gray",IF(E153="On Hold","Red",IF(E153="Completed",IF(K153&gt;5,"Red",IF(K153&gt;0,"Amber","Green")),IF(K153&gt;5,"Red",IF(K153&gt;0,"Amber","Green")))))</f>
        <v>Green</v>
      </c>
      <c r="M153" s="50" t="s">
        <v>92</v>
      </c>
      <c r="N153" s="50"/>
      <c r="O153" s="34" t="str">
        <f aca="false">$O$149</f>
        <v>RPA-022</v>
      </c>
      <c r="P153" s="34"/>
      <c r="Q153" s="51"/>
      <c r="R153" s="34" t="s">
        <v>87</v>
      </c>
      <c r="S153" s="50"/>
      <c r="T153" s="50"/>
      <c r="U153" s="51" t="str">
        <f aca="false">$U$149</f>
        <v>Medium</v>
      </c>
      <c r="V153" s="51" t="str">
        <f aca="false">IF($V$149="","",$V$149)</f>
        <v/>
      </c>
      <c r="W153" s="34" t="str">
        <f aca="false">IF($W$149="","",$W$149)</f>
        <v/>
      </c>
      <c r="X153" s="52" t="n">
        <v>46233.4534722222</v>
      </c>
      <c r="Y153" s="51" t="str">
        <f aca="false">IF($Y$149="","",$Y$149)</f>
        <v>Project Manager</v>
      </c>
    </row>
    <row r="154" customFormat="false" ht="15.75" hidden="false" customHeight="true" outlineLevel="0" collapsed="false">
      <c r="A154" s="51"/>
      <c r="B154" s="51" t="s">
        <v>30</v>
      </c>
      <c r="C154" s="51" t="str">
        <f aca="false">C149</f>
        <v>LOW</v>
      </c>
      <c r="D154" s="51" t="str">
        <f aca="false">D149</f>
        <v>Developer 3</v>
      </c>
      <c r="E154" s="34" t="s">
        <v>9</v>
      </c>
      <c r="F154" s="53" t="n">
        <f aca="false">IF(E154="Completed",100%,IF(OR(E154="In Progress",E154="On Hold"),50%,0%))</f>
        <v>0</v>
      </c>
      <c r="G154" s="49" t="n">
        <f aca="false">H153+1+2*INT((WEEKDAY(H153,1)-1+1)/5)</f>
        <v>46408</v>
      </c>
      <c r="H154" s="49" t="n">
        <f aca="false">G154+(Settings!$B$11)-1+2*INT((WEEKDAY(G154,1)-1+(Settings!$B$11)-1)/5)</f>
        <v>46411</v>
      </c>
      <c r="I154" s="49"/>
      <c r="J154" s="49"/>
      <c r="K154" s="51" t="n">
        <f aca="true">IF(E154="Cancelled","",IF(J154&lt;&gt;"",J154-H154,IF(AND(E154&lt;&gt;"Completed",TODAY()&gt;H154),TODAY()-H154,0)))</f>
        <v>0</v>
      </c>
      <c r="L154" s="51" t="str">
        <f aca="false">IF(E154="Cancelled","Gray",IF(E154="On Hold","Red",IF(E154="Completed",IF(K154&gt;5,"Red",IF(K154&gt;0,"Amber","Green")),IF(K154&gt;5,"Red",IF(K154&gt;0,"Amber","Green")))))</f>
        <v>Green</v>
      </c>
      <c r="M154" s="50" t="s">
        <v>93</v>
      </c>
      <c r="N154" s="50"/>
      <c r="O154" s="34" t="str">
        <f aca="false">$O$149</f>
        <v>RPA-022</v>
      </c>
      <c r="P154" s="34"/>
      <c r="Q154" s="51"/>
      <c r="R154" s="34" t="s">
        <v>87</v>
      </c>
      <c r="S154" s="50"/>
      <c r="T154" s="50"/>
      <c r="U154" s="51" t="str">
        <f aca="false">$U$149</f>
        <v>Medium</v>
      </c>
      <c r="V154" s="51" t="str">
        <f aca="false">IF($V$149="","",$V$149)</f>
        <v/>
      </c>
      <c r="W154" s="34" t="str">
        <f aca="false">IF($W$149="","",$W$149)</f>
        <v/>
      </c>
      <c r="X154" s="52" t="n">
        <v>46233.4534722222</v>
      </c>
      <c r="Y154" s="51" t="str">
        <f aca="false">IF($Y$149="","",$Y$149)</f>
        <v>Project Manager</v>
      </c>
    </row>
    <row r="155" customFormat="false" ht="15.75" hidden="false" customHeight="true" outlineLevel="0" collapsed="false">
      <c r="A155" s="51"/>
      <c r="B155" s="51" t="s">
        <v>31</v>
      </c>
      <c r="C155" s="51" t="str">
        <f aca="false">C149</f>
        <v>LOW</v>
      </c>
      <c r="D155" s="51" t="str">
        <f aca="false">D149</f>
        <v>Developer 3</v>
      </c>
      <c r="E155" s="34" t="s">
        <v>9</v>
      </c>
      <c r="F155" s="53" t="n">
        <f aca="false">IF(E155="Completed",100%,IF(OR(E155="In Progress",E155="On Hold"),50%,0%))</f>
        <v>0</v>
      </c>
      <c r="G155" s="49" t="n">
        <f aca="false">H154+1+2*INT((WEEKDAY(H154,1)-1+1)/5)</f>
        <v>46412</v>
      </c>
      <c r="H155" s="49" t="n">
        <f aca="false">G155+(Settings!$B$12)-1+2*INT((WEEKDAY(G155,1)-1+(Settings!$B$12)-1)/5)</f>
        <v>46412</v>
      </c>
      <c r="I155" s="49"/>
      <c r="J155" s="49"/>
      <c r="K155" s="51" t="n">
        <f aca="true">IF(E155="Cancelled","",IF(J155&lt;&gt;"",J155-H155,IF(AND(E155&lt;&gt;"Completed",TODAY()&gt;H155),TODAY()-H155,0)))</f>
        <v>0</v>
      </c>
      <c r="L155" s="51" t="str">
        <f aca="false">IF(E155="Cancelled","Gray",IF(E155="On Hold","Red",IF(E155="Completed",IF(K155&gt;5,"Red",IF(K155&gt;0,"Amber","Green")),IF(K155&gt;5,"Red",IF(K155&gt;0,"Amber","Green")))))</f>
        <v>Green</v>
      </c>
      <c r="M155" s="50" t="s">
        <v>92</v>
      </c>
      <c r="N155" s="50"/>
      <c r="O155" s="34" t="str">
        <f aca="false">$O$149</f>
        <v>RPA-022</v>
      </c>
      <c r="P155" s="34"/>
      <c r="Q155" s="51"/>
      <c r="R155" s="34" t="s">
        <v>87</v>
      </c>
      <c r="S155" s="50"/>
      <c r="T155" s="50"/>
      <c r="U155" s="51" t="str">
        <f aca="false">$U$149</f>
        <v>Medium</v>
      </c>
      <c r="V155" s="51" t="str">
        <f aca="false">IF($V$149="","",$V$149)</f>
        <v/>
      </c>
      <c r="W155" s="34" t="str">
        <f aca="false">IF($W$149="","",$W$149)</f>
        <v/>
      </c>
      <c r="X155" s="52" t="n">
        <v>46233.4534722222</v>
      </c>
      <c r="Y155" s="51" t="str">
        <f aca="false">IF($Y$149="","",$Y$149)</f>
        <v>Project Manager</v>
      </c>
    </row>
    <row r="156" customFormat="false" ht="15" hidden="false" customHeight="false" outlineLevel="0" collapsed="false">
      <c r="A156" s="41" t="s">
        <v>54</v>
      </c>
      <c r="B156" s="41" t="s">
        <v>85</v>
      </c>
      <c r="C156" s="41" t="str">
        <f aca="false">'Process Summary'!B26</f>
        <v>LOW</v>
      </c>
      <c r="D156" s="41" t="str">
        <f aca="false">'Process Summary'!C26</f>
        <v>Developer 4</v>
      </c>
      <c r="E156" s="41" t="str">
        <f aca="false">IF(F156=100%,"Completed",IF(E157="On Hold","On Hold",IF(E158="On Hold","On Hold",IF(E159="On Hold","On Hold",IF(E160="On Hold","On Hold",IF(E161="On Hold","On Hold",IF(E162="On Hold","On Hold",IF(F156&gt;0%,"In Progress","Not Started"))))))))</f>
        <v>Not Started</v>
      </c>
      <c r="F156" s="42" t="n">
        <f aca="false">(F157*3+F158*5+F159+F160*IF(C156="LOW",13,IF(C156="MEDIUM",23,33))+F161*2+F162)/(12+IF(C156="LOW",13,IF(C156="MEDIUM",23,33)))</f>
        <v>0</v>
      </c>
      <c r="G156" s="43" t="n">
        <f aca="false">'Process Summary'!G26</f>
        <v>46383</v>
      </c>
      <c r="H156" s="43" t="n">
        <f aca="false">H162</f>
        <v>46412</v>
      </c>
      <c r="I156" s="43" t="str">
        <f aca="false">IF(COUNT(I157:I162)=0,"",MIN(I157:I162))</f>
        <v/>
      </c>
      <c r="J156" s="43" t="str">
        <f aca="false">IF(COUNT(J157:J162)=0,"",MAX(J157:J162))</f>
        <v/>
      </c>
      <c r="K156" s="41" t="n">
        <f aca="true">IF(E156="Cancelled","",IF(J156&lt;&gt;"",J156-H156,IF(AND(E156&lt;&gt;"Completed",TODAY()&gt;H156),TODAY()-H156,0)))</f>
        <v>0</v>
      </c>
      <c r="L156" s="41" t="str">
        <f aca="false">IF(E156="Cancelled","Gray",IF(E156="On Hold","Red",IF(E156="Completed",IF(K156&gt;5,"Red",IF(K156&gt;0,"Amber","Green")),IF(K156&gt;5,"Red",IF(K156&gt;0,"Amber","Green")))))</f>
        <v>Green</v>
      </c>
      <c r="M156" s="44"/>
      <c r="N156" s="44"/>
      <c r="O156" s="41" t="s">
        <v>116</v>
      </c>
      <c r="P156" s="41"/>
      <c r="Q156" s="41"/>
      <c r="R156" s="41" t="s">
        <v>87</v>
      </c>
      <c r="S156" s="44"/>
      <c r="T156" s="44"/>
      <c r="U156" s="41" t="s">
        <v>88</v>
      </c>
      <c r="V156" s="41"/>
      <c r="W156" s="41"/>
      <c r="X156" s="45" t="n">
        <v>46233.4534722222</v>
      </c>
      <c r="Y156" s="41" t="s">
        <v>89</v>
      </c>
    </row>
    <row r="157" customFormat="false" ht="15.75" hidden="false" customHeight="true" outlineLevel="0" collapsed="false">
      <c r="A157" s="46"/>
      <c r="B157" s="46" t="s">
        <v>22</v>
      </c>
      <c r="C157" s="46" t="str">
        <f aca="false">C156</f>
        <v>LOW</v>
      </c>
      <c r="D157" s="46" t="str">
        <f aca="false">D156</f>
        <v>Developer 4</v>
      </c>
      <c r="E157" s="34" t="s">
        <v>9</v>
      </c>
      <c r="F157" s="47" t="n">
        <f aca="false">IF(E157="Completed",100%,IF(OR(E157="In Progress",E157="On Hold"),50%,0%))</f>
        <v>0</v>
      </c>
      <c r="G157" s="48" t="n">
        <f aca="false">G156</f>
        <v>46383</v>
      </c>
      <c r="H157" s="48" t="n">
        <f aca="false">G157+(Settings!$B$5)-1+2*INT((WEEKDAY(G157,1)-1+(Settings!$B$5)-1)/5)</f>
        <v>46385</v>
      </c>
      <c r="I157" s="49"/>
      <c r="J157" s="49"/>
      <c r="K157" s="46" t="n">
        <f aca="true">IF(E157="Cancelled","",IF(J157&lt;&gt;"",J157-H157,IF(AND(E157&lt;&gt;"Completed",TODAY()&gt;H157),TODAY()-H157,0)))</f>
        <v>0</v>
      </c>
      <c r="L157" s="46" t="str">
        <f aca="false">IF(E157="Cancelled","Gray",IF(E157="On Hold","Red",IF(E157="Completed",IF(K157&gt;5,"Red",IF(K157&gt;0,"Amber","Green")),IF(K157&gt;5,"Red",IF(K157&gt;0,"Amber","Green")))))</f>
        <v>Green</v>
      </c>
      <c r="M157" s="50" t="s">
        <v>90</v>
      </c>
      <c r="N157" s="50"/>
      <c r="O157" s="34" t="str">
        <f aca="false">$O$156</f>
        <v>RPA-023</v>
      </c>
      <c r="P157" s="34"/>
      <c r="Q157" s="51"/>
      <c r="R157" s="34" t="s">
        <v>87</v>
      </c>
      <c r="S157" s="50"/>
      <c r="T157" s="50"/>
      <c r="U157" s="51" t="str">
        <f aca="false">$U$156</f>
        <v>Medium</v>
      </c>
      <c r="V157" s="51" t="str">
        <f aca="false">IF($V$156="","",$V$156)</f>
        <v/>
      </c>
      <c r="W157" s="34" t="str">
        <f aca="false">IF($W$156="","",$W$156)</f>
        <v/>
      </c>
      <c r="X157" s="52" t="n">
        <v>46233.4534722222</v>
      </c>
      <c r="Y157" s="51" t="str">
        <f aca="false">IF($Y$156="","",$Y$156)</f>
        <v>Project Manager</v>
      </c>
    </row>
    <row r="158" customFormat="false" ht="15.75" hidden="false" customHeight="true" outlineLevel="0" collapsed="false">
      <c r="A158" s="46"/>
      <c r="B158" s="46" t="s">
        <v>24</v>
      </c>
      <c r="C158" s="46" t="str">
        <f aca="false">C156</f>
        <v>LOW</v>
      </c>
      <c r="D158" s="46" t="str">
        <f aca="false">D156</f>
        <v>Developer 4</v>
      </c>
      <c r="E158" s="34" t="s">
        <v>9</v>
      </c>
      <c r="F158" s="47" t="n">
        <f aca="false">IF(E158="Completed",100%,IF(OR(E158="In Progress",E158="On Hold"),50%,0%))</f>
        <v>0</v>
      </c>
      <c r="G158" s="48" t="n">
        <f aca="false">H157+1+2*INT((WEEKDAY(H157,1)-1+1)/5)</f>
        <v>46386</v>
      </c>
      <c r="H158" s="48" t="n">
        <f aca="false">G158+(Settings!$B$6)-1+2*INT((WEEKDAY(G158,1)-1+(Settings!$B$6)-1)/5)</f>
        <v>46392</v>
      </c>
      <c r="I158" s="49"/>
      <c r="J158" s="49"/>
      <c r="K158" s="46" t="n">
        <f aca="true">IF(E158="Cancelled","",IF(J158&lt;&gt;"",J158-H158,IF(AND(E158&lt;&gt;"Completed",TODAY()&gt;H158),TODAY()-H158,0)))</f>
        <v>0</v>
      </c>
      <c r="L158" s="46" t="str">
        <f aca="false">IF(E158="Cancelled","Gray",IF(E158="On Hold","Red",IF(E158="Completed",IF(K158&gt;5,"Red",IF(K158&gt;0,"Amber","Green")),IF(K158&gt;5,"Red",IF(K158&gt;0,"Amber","Green")))))</f>
        <v>Green</v>
      </c>
      <c r="M158" s="50" t="s">
        <v>90</v>
      </c>
      <c r="N158" s="50"/>
      <c r="O158" s="34" t="str">
        <f aca="false">$O$156</f>
        <v>RPA-023</v>
      </c>
      <c r="P158" s="34"/>
      <c r="Q158" s="51"/>
      <c r="R158" s="34" t="s">
        <v>87</v>
      </c>
      <c r="S158" s="50"/>
      <c r="T158" s="50"/>
      <c r="U158" s="51" t="str">
        <f aca="false">$U$156</f>
        <v>Medium</v>
      </c>
      <c r="V158" s="51" t="str">
        <f aca="false">IF($V$156="","",$V$156)</f>
        <v/>
      </c>
      <c r="W158" s="34" t="str">
        <f aca="false">IF($W$156="","",$W$156)</f>
        <v/>
      </c>
      <c r="X158" s="52" t="n">
        <v>46233.4534722222</v>
      </c>
      <c r="Y158" s="51" t="str">
        <f aca="false">IF($Y$156="","",$Y$156)</f>
        <v>Project Manager</v>
      </c>
    </row>
    <row r="159" customFormat="false" ht="15.75" hidden="false" customHeight="true" outlineLevel="0" collapsed="false">
      <c r="A159" s="46"/>
      <c r="B159" s="46" t="s">
        <v>26</v>
      </c>
      <c r="C159" s="46" t="str">
        <f aca="false">C156</f>
        <v>LOW</v>
      </c>
      <c r="D159" s="46" t="str">
        <f aca="false">D156</f>
        <v>Developer 4</v>
      </c>
      <c r="E159" s="34" t="s">
        <v>9</v>
      </c>
      <c r="F159" s="47" t="n">
        <f aca="false">IF(E159="Completed",100%,IF(OR(E159="In Progress",E159="On Hold"),50%,0%))</f>
        <v>0</v>
      </c>
      <c r="G159" s="48" t="n">
        <f aca="false">H158+1+2*INT((WEEKDAY(H158,1)-1+1)/5)</f>
        <v>46393</v>
      </c>
      <c r="H159" s="48" t="n">
        <f aca="false">G159+(Settings!$B$7)-1+2*INT((WEEKDAY(G159,1)-1+(Settings!$B$7)-1)/5)</f>
        <v>46393</v>
      </c>
      <c r="I159" s="49"/>
      <c r="J159" s="49"/>
      <c r="K159" s="46" t="n">
        <f aca="true">IF(E159="Cancelled","",IF(J159&lt;&gt;"",J159-H159,IF(AND(E159&lt;&gt;"Completed",TODAY()&gt;H159),TODAY()-H159,0)))</f>
        <v>0</v>
      </c>
      <c r="L159" s="46" t="str">
        <f aca="false">IF(E159="Cancelled","Gray",IF(E159="On Hold","Red",IF(E159="Completed",IF(K159&gt;5,"Red",IF(K159&gt;0,"Amber","Green")),IF(K159&gt;5,"Red",IF(K159&gt;0,"Amber","Green")))))</f>
        <v>Green</v>
      </c>
      <c r="M159" s="50" t="s">
        <v>91</v>
      </c>
      <c r="N159" s="50"/>
      <c r="O159" s="34" t="str">
        <f aca="false">$O$156</f>
        <v>RPA-023</v>
      </c>
      <c r="P159" s="34"/>
      <c r="Q159" s="51"/>
      <c r="R159" s="34" t="s">
        <v>87</v>
      </c>
      <c r="S159" s="50"/>
      <c r="T159" s="50"/>
      <c r="U159" s="51" t="str">
        <f aca="false">$U$156</f>
        <v>Medium</v>
      </c>
      <c r="V159" s="51" t="str">
        <f aca="false">IF($V$156="","",$V$156)</f>
        <v/>
      </c>
      <c r="W159" s="34" t="str">
        <f aca="false">IF($W$156="","",$W$156)</f>
        <v/>
      </c>
      <c r="X159" s="52" t="n">
        <v>46233.4534722222</v>
      </c>
      <c r="Y159" s="51" t="str">
        <f aca="false">IF($Y$156="","",$Y$156)</f>
        <v>Project Manager</v>
      </c>
    </row>
    <row r="160" customFormat="false" ht="15.75" hidden="false" customHeight="true" outlineLevel="0" collapsed="false">
      <c r="A160" s="46"/>
      <c r="B160" s="46" t="s">
        <v>28</v>
      </c>
      <c r="C160" s="46" t="str">
        <f aca="false">C156</f>
        <v>LOW</v>
      </c>
      <c r="D160" s="46" t="str">
        <f aca="false">D156</f>
        <v>Developer 4</v>
      </c>
      <c r="E160" s="34" t="s">
        <v>9</v>
      </c>
      <c r="F160" s="47" t="n">
        <f aca="false">IF(E160="Completed",100%,IF(OR(E160="In Progress",E160="On Hold"),50%,0%))</f>
        <v>0</v>
      </c>
      <c r="G160" s="48" t="n">
        <f aca="false">H159+1+2*INT((WEEKDAY(H159,1)-1+1)/5)</f>
        <v>46394</v>
      </c>
      <c r="H160" s="48" t="n">
        <f aca="false">G160+(IF(C160="LOW",Settings!$B$8,IF(C160="MEDIUM",Settings!$B$9,Settings!$B$10)))-1+2*INT((WEEKDAY(G160,1)-1+(IF(C160="LOW",Settings!$B$8,IF(C160="MEDIUM",Settings!$B$9,Settings!$B$10)))-1)/5)</f>
        <v>46407</v>
      </c>
      <c r="I160" s="49"/>
      <c r="J160" s="49"/>
      <c r="K160" s="46" t="n">
        <f aca="true">IF(E160="Cancelled","",IF(J160&lt;&gt;"",J160-H160,IF(AND(E160&lt;&gt;"Completed",TODAY()&gt;H160),TODAY()-H160,0)))</f>
        <v>0</v>
      </c>
      <c r="L160" s="46" t="str">
        <f aca="false">IF(E160="Cancelled","Gray",IF(E160="On Hold","Red",IF(E160="Completed",IF(K160&gt;5,"Red",IF(K160&gt;0,"Amber","Green")),IF(K160&gt;5,"Red",IF(K160&gt;0,"Amber","Green")))))</f>
        <v>Green</v>
      </c>
      <c r="M160" s="50" t="s">
        <v>92</v>
      </c>
      <c r="N160" s="50"/>
      <c r="O160" s="34" t="str">
        <f aca="false">$O$156</f>
        <v>RPA-023</v>
      </c>
      <c r="P160" s="34"/>
      <c r="Q160" s="51"/>
      <c r="R160" s="34" t="s">
        <v>87</v>
      </c>
      <c r="S160" s="50"/>
      <c r="T160" s="50"/>
      <c r="U160" s="51" t="str">
        <f aca="false">$U$156</f>
        <v>Medium</v>
      </c>
      <c r="V160" s="51" t="str">
        <f aca="false">IF($V$156="","",$V$156)</f>
        <v/>
      </c>
      <c r="W160" s="34" t="str">
        <f aca="false">IF($W$156="","",$W$156)</f>
        <v/>
      </c>
      <c r="X160" s="52" t="n">
        <v>46233.4534722222</v>
      </c>
      <c r="Y160" s="51" t="str">
        <f aca="false">IF($Y$156="","",$Y$156)</f>
        <v>Project Manager</v>
      </c>
    </row>
    <row r="161" customFormat="false" ht="15.75" hidden="false" customHeight="true" outlineLevel="0" collapsed="false">
      <c r="A161" s="46"/>
      <c r="B161" s="46" t="s">
        <v>30</v>
      </c>
      <c r="C161" s="46" t="str">
        <f aca="false">C156</f>
        <v>LOW</v>
      </c>
      <c r="D161" s="46" t="str">
        <f aca="false">D156</f>
        <v>Developer 4</v>
      </c>
      <c r="E161" s="34" t="s">
        <v>9</v>
      </c>
      <c r="F161" s="47" t="n">
        <f aca="false">IF(E161="Completed",100%,IF(OR(E161="In Progress",E161="On Hold"),50%,0%))</f>
        <v>0</v>
      </c>
      <c r="G161" s="48" t="n">
        <f aca="false">H160+1+2*INT((WEEKDAY(H160,1)-1+1)/5)</f>
        <v>46408</v>
      </c>
      <c r="H161" s="48" t="n">
        <f aca="false">G161+(Settings!$B$11)-1+2*INT((WEEKDAY(G161,1)-1+(Settings!$B$11)-1)/5)</f>
        <v>46411</v>
      </c>
      <c r="I161" s="49"/>
      <c r="J161" s="49"/>
      <c r="K161" s="46" t="n">
        <f aca="true">IF(E161="Cancelled","",IF(J161&lt;&gt;"",J161-H161,IF(AND(E161&lt;&gt;"Completed",TODAY()&gt;H161),TODAY()-H161,0)))</f>
        <v>0</v>
      </c>
      <c r="L161" s="46" t="str">
        <f aca="false">IF(E161="Cancelled","Gray",IF(E161="On Hold","Red",IF(E161="Completed",IF(K161&gt;5,"Red",IF(K161&gt;0,"Amber","Green")),IF(K161&gt;5,"Red",IF(K161&gt;0,"Amber","Green")))))</f>
        <v>Green</v>
      </c>
      <c r="M161" s="50" t="s">
        <v>93</v>
      </c>
      <c r="N161" s="50"/>
      <c r="O161" s="34" t="str">
        <f aca="false">$O$156</f>
        <v>RPA-023</v>
      </c>
      <c r="P161" s="34"/>
      <c r="Q161" s="51"/>
      <c r="R161" s="34" t="s">
        <v>87</v>
      </c>
      <c r="S161" s="50"/>
      <c r="T161" s="50"/>
      <c r="U161" s="51" t="str">
        <f aca="false">$U$156</f>
        <v>Medium</v>
      </c>
      <c r="V161" s="51" t="str">
        <f aca="false">IF($V$156="","",$V$156)</f>
        <v/>
      </c>
      <c r="W161" s="34" t="str">
        <f aca="false">IF($W$156="","",$W$156)</f>
        <v/>
      </c>
      <c r="X161" s="52" t="n">
        <v>46233.4534722222</v>
      </c>
      <c r="Y161" s="51" t="str">
        <f aca="false">IF($Y$156="","",$Y$156)</f>
        <v>Project Manager</v>
      </c>
    </row>
    <row r="162" customFormat="false" ht="15.75" hidden="false" customHeight="true" outlineLevel="0" collapsed="false">
      <c r="A162" s="46"/>
      <c r="B162" s="46" t="s">
        <v>31</v>
      </c>
      <c r="C162" s="46" t="str">
        <f aca="false">C156</f>
        <v>LOW</v>
      </c>
      <c r="D162" s="46" t="str">
        <f aca="false">D156</f>
        <v>Developer 4</v>
      </c>
      <c r="E162" s="34" t="s">
        <v>9</v>
      </c>
      <c r="F162" s="47" t="n">
        <f aca="false">IF(E162="Completed",100%,IF(OR(E162="In Progress",E162="On Hold"),50%,0%))</f>
        <v>0</v>
      </c>
      <c r="G162" s="48" t="n">
        <f aca="false">H161+1+2*INT((WEEKDAY(H161,1)-1+1)/5)</f>
        <v>46412</v>
      </c>
      <c r="H162" s="48" t="n">
        <f aca="false">G162+(Settings!$B$12)-1+2*INT((WEEKDAY(G162,1)-1+(Settings!$B$12)-1)/5)</f>
        <v>46412</v>
      </c>
      <c r="I162" s="49"/>
      <c r="J162" s="49"/>
      <c r="K162" s="46" t="n">
        <f aca="true">IF(E162="Cancelled","",IF(J162&lt;&gt;"",J162-H162,IF(AND(E162&lt;&gt;"Completed",TODAY()&gt;H162),TODAY()-H162,0)))</f>
        <v>0</v>
      </c>
      <c r="L162" s="46" t="str">
        <f aca="false">IF(E162="Cancelled","Gray",IF(E162="On Hold","Red",IF(E162="Completed",IF(K162&gt;5,"Red",IF(K162&gt;0,"Amber","Green")),IF(K162&gt;5,"Red",IF(K162&gt;0,"Amber","Green")))))</f>
        <v>Green</v>
      </c>
      <c r="M162" s="50" t="s">
        <v>92</v>
      </c>
      <c r="N162" s="50"/>
      <c r="O162" s="34" t="str">
        <f aca="false">$O$156</f>
        <v>RPA-023</v>
      </c>
      <c r="P162" s="34"/>
      <c r="Q162" s="51"/>
      <c r="R162" s="34" t="s">
        <v>87</v>
      </c>
      <c r="S162" s="50"/>
      <c r="T162" s="50"/>
      <c r="U162" s="51" t="str">
        <f aca="false">$U$156</f>
        <v>Medium</v>
      </c>
      <c r="V162" s="51" t="str">
        <f aca="false">IF($V$156="","",$V$156)</f>
        <v/>
      </c>
      <c r="W162" s="34" t="str">
        <f aca="false">IF($W$156="","",$W$156)</f>
        <v/>
      </c>
      <c r="X162" s="52" t="n">
        <v>46233.4534722222</v>
      </c>
      <c r="Y162" s="51" t="str">
        <f aca="false">IF($Y$156="","",$Y$156)</f>
        <v>Project Manager</v>
      </c>
    </row>
    <row r="163" customFormat="false" ht="15" hidden="false" customHeight="false" outlineLevel="0" collapsed="false">
      <c r="A163" s="41" t="s">
        <v>54</v>
      </c>
      <c r="B163" s="41" t="s">
        <v>85</v>
      </c>
      <c r="C163" s="41" t="str">
        <f aca="false">'Process Summary'!B27</f>
        <v>LOW</v>
      </c>
      <c r="D163" s="41" t="str">
        <f aca="false">'Process Summary'!C27</f>
        <v>Developer 1</v>
      </c>
      <c r="E163" s="41" t="str">
        <f aca="false">IF(F163=100%,"Completed",IF(E164="On Hold","On Hold",IF(E165="On Hold","On Hold",IF(E166="On Hold","On Hold",IF(E167="On Hold","On Hold",IF(E168="On Hold","On Hold",IF(E169="On Hold","On Hold",IF(F163&gt;0%,"In Progress","Not Started"))))))))</f>
        <v>Not Started</v>
      </c>
      <c r="F163" s="42" t="n">
        <f aca="false">(F164*3+F165*5+F166+F167*IF(C163="LOW",13,IF(C163="MEDIUM",23,33))+F168*2+F169)/(12+IF(C163="LOW",13,IF(C163="MEDIUM",23,33)))</f>
        <v>0</v>
      </c>
      <c r="G163" s="43" t="n">
        <f aca="false">'Process Summary'!G27</f>
        <v>46383</v>
      </c>
      <c r="H163" s="43" t="n">
        <f aca="false">H169</f>
        <v>46412</v>
      </c>
      <c r="I163" s="43" t="str">
        <f aca="false">IF(COUNT(I164:I169)=0,"",MIN(I164:I169))</f>
        <v/>
      </c>
      <c r="J163" s="43" t="str">
        <f aca="false">IF(COUNT(J164:J169)=0,"",MAX(J164:J169))</f>
        <v/>
      </c>
      <c r="K163" s="41" t="n">
        <f aca="true">IF(E163="Cancelled","",IF(J163&lt;&gt;"",J163-H163,IF(AND(E163&lt;&gt;"Completed",TODAY()&gt;H163),TODAY()-H163,0)))</f>
        <v>0</v>
      </c>
      <c r="L163" s="41" t="str">
        <f aca="false">IF(E163="Cancelled","Gray",IF(E163="On Hold","Red",IF(E163="Completed",IF(K163&gt;5,"Red",IF(K163&gt;0,"Amber","Green")),IF(K163&gt;5,"Red",IF(K163&gt;0,"Amber","Green")))))</f>
        <v>Green</v>
      </c>
      <c r="M163" s="44"/>
      <c r="N163" s="44"/>
      <c r="O163" s="41" t="s">
        <v>117</v>
      </c>
      <c r="P163" s="41"/>
      <c r="Q163" s="41"/>
      <c r="R163" s="41" t="s">
        <v>87</v>
      </c>
      <c r="S163" s="44"/>
      <c r="T163" s="44"/>
      <c r="U163" s="41" t="s">
        <v>88</v>
      </c>
      <c r="V163" s="41"/>
      <c r="W163" s="41"/>
      <c r="X163" s="45" t="n">
        <v>46233.4534722222</v>
      </c>
      <c r="Y163" s="41" t="s">
        <v>89</v>
      </c>
    </row>
    <row r="164" customFormat="false" ht="15.75" hidden="false" customHeight="true" outlineLevel="0" collapsed="false">
      <c r="A164" s="51"/>
      <c r="B164" s="51" t="s">
        <v>22</v>
      </c>
      <c r="C164" s="51" t="str">
        <f aca="false">C163</f>
        <v>LOW</v>
      </c>
      <c r="D164" s="51" t="str">
        <f aca="false">D163</f>
        <v>Developer 1</v>
      </c>
      <c r="E164" s="34" t="s">
        <v>9</v>
      </c>
      <c r="F164" s="53" t="n">
        <f aca="false">IF(E164="Completed",100%,IF(OR(E164="In Progress",E164="On Hold"),50%,0%))</f>
        <v>0</v>
      </c>
      <c r="G164" s="49" t="n">
        <f aca="false">G163</f>
        <v>46383</v>
      </c>
      <c r="H164" s="49" t="n">
        <f aca="false">G164+(Settings!$B$5)-1+2*INT((WEEKDAY(G164,1)-1+(Settings!$B$5)-1)/5)</f>
        <v>46385</v>
      </c>
      <c r="I164" s="49"/>
      <c r="J164" s="49"/>
      <c r="K164" s="51" t="n">
        <f aca="true">IF(E164="Cancelled","",IF(J164&lt;&gt;"",J164-H164,IF(AND(E164&lt;&gt;"Completed",TODAY()&gt;H164),TODAY()-H164,0)))</f>
        <v>0</v>
      </c>
      <c r="L164" s="51" t="str">
        <f aca="false">IF(E164="Cancelled","Gray",IF(E164="On Hold","Red",IF(E164="Completed",IF(K164&gt;5,"Red",IF(K164&gt;0,"Amber","Green")),IF(K164&gt;5,"Red",IF(K164&gt;0,"Amber","Green")))))</f>
        <v>Green</v>
      </c>
      <c r="M164" s="50" t="s">
        <v>90</v>
      </c>
      <c r="N164" s="50"/>
      <c r="O164" s="34" t="str">
        <f aca="false">$O$163</f>
        <v>RPA-024</v>
      </c>
      <c r="P164" s="34"/>
      <c r="Q164" s="51"/>
      <c r="R164" s="34" t="s">
        <v>87</v>
      </c>
      <c r="S164" s="50"/>
      <c r="T164" s="50"/>
      <c r="U164" s="51" t="str">
        <f aca="false">$U$163</f>
        <v>Medium</v>
      </c>
      <c r="V164" s="51" t="str">
        <f aca="false">IF($V$163="","",$V$163)</f>
        <v/>
      </c>
      <c r="W164" s="34" t="str">
        <f aca="false">IF($W$163="","",$W$163)</f>
        <v/>
      </c>
      <c r="X164" s="52" t="n">
        <v>46233.4534722222</v>
      </c>
      <c r="Y164" s="51" t="str">
        <f aca="false">IF($Y$163="","",$Y$163)</f>
        <v>Project Manager</v>
      </c>
    </row>
    <row r="165" customFormat="false" ht="15.75" hidden="false" customHeight="true" outlineLevel="0" collapsed="false">
      <c r="A165" s="51"/>
      <c r="B165" s="51" t="s">
        <v>24</v>
      </c>
      <c r="C165" s="51" t="str">
        <f aca="false">C163</f>
        <v>LOW</v>
      </c>
      <c r="D165" s="51" t="str">
        <f aca="false">D163</f>
        <v>Developer 1</v>
      </c>
      <c r="E165" s="34" t="s">
        <v>9</v>
      </c>
      <c r="F165" s="53" t="n">
        <f aca="false">IF(E165="Completed",100%,IF(OR(E165="In Progress",E165="On Hold"),50%,0%))</f>
        <v>0</v>
      </c>
      <c r="G165" s="49" t="n">
        <f aca="false">H164+1+2*INT((WEEKDAY(H164,1)-1+1)/5)</f>
        <v>46386</v>
      </c>
      <c r="H165" s="49" t="n">
        <f aca="false">G165+(Settings!$B$6)-1+2*INT((WEEKDAY(G165,1)-1+(Settings!$B$6)-1)/5)</f>
        <v>46392</v>
      </c>
      <c r="I165" s="49"/>
      <c r="J165" s="49"/>
      <c r="K165" s="51" t="n">
        <f aca="true">IF(E165="Cancelled","",IF(J165&lt;&gt;"",J165-H165,IF(AND(E165&lt;&gt;"Completed",TODAY()&gt;H165),TODAY()-H165,0)))</f>
        <v>0</v>
      </c>
      <c r="L165" s="51" t="str">
        <f aca="false">IF(E165="Cancelled","Gray",IF(E165="On Hold","Red",IF(E165="Completed",IF(K165&gt;5,"Red",IF(K165&gt;0,"Amber","Green")),IF(K165&gt;5,"Red",IF(K165&gt;0,"Amber","Green")))))</f>
        <v>Green</v>
      </c>
      <c r="M165" s="50" t="s">
        <v>90</v>
      </c>
      <c r="N165" s="50"/>
      <c r="O165" s="34" t="str">
        <f aca="false">$O$163</f>
        <v>RPA-024</v>
      </c>
      <c r="P165" s="34"/>
      <c r="Q165" s="51"/>
      <c r="R165" s="34" t="s">
        <v>87</v>
      </c>
      <c r="S165" s="50"/>
      <c r="T165" s="50"/>
      <c r="U165" s="51" t="str">
        <f aca="false">$U$163</f>
        <v>Medium</v>
      </c>
      <c r="V165" s="51" t="str">
        <f aca="false">IF($V$163="","",$V$163)</f>
        <v/>
      </c>
      <c r="W165" s="34" t="str">
        <f aca="false">IF($W$163="","",$W$163)</f>
        <v/>
      </c>
      <c r="X165" s="52" t="n">
        <v>46233.4534722222</v>
      </c>
      <c r="Y165" s="51" t="str">
        <f aca="false">IF($Y$163="","",$Y$163)</f>
        <v>Project Manager</v>
      </c>
    </row>
    <row r="166" customFormat="false" ht="15.75" hidden="false" customHeight="true" outlineLevel="0" collapsed="false">
      <c r="A166" s="51"/>
      <c r="B166" s="51" t="s">
        <v>26</v>
      </c>
      <c r="C166" s="51" t="str">
        <f aca="false">C163</f>
        <v>LOW</v>
      </c>
      <c r="D166" s="51" t="str">
        <f aca="false">D163</f>
        <v>Developer 1</v>
      </c>
      <c r="E166" s="34" t="s">
        <v>9</v>
      </c>
      <c r="F166" s="53" t="n">
        <f aca="false">IF(E166="Completed",100%,IF(OR(E166="In Progress",E166="On Hold"),50%,0%))</f>
        <v>0</v>
      </c>
      <c r="G166" s="49" t="n">
        <f aca="false">H165+1+2*INT((WEEKDAY(H165,1)-1+1)/5)</f>
        <v>46393</v>
      </c>
      <c r="H166" s="49" t="n">
        <f aca="false">G166+(Settings!$B$7)-1+2*INT((WEEKDAY(G166,1)-1+(Settings!$B$7)-1)/5)</f>
        <v>46393</v>
      </c>
      <c r="I166" s="49"/>
      <c r="J166" s="49"/>
      <c r="K166" s="51" t="n">
        <f aca="true">IF(E166="Cancelled","",IF(J166&lt;&gt;"",J166-H166,IF(AND(E166&lt;&gt;"Completed",TODAY()&gt;H166),TODAY()-H166,0)))</f>
        <v>0</v>
      </c>
      <c r="L166" s="51" t="str">
        <f aca="false">IF(E166="Cancelled","Gray",IF(E166="On Hold","Red",IF(E166="Completed",IF(K166&gt;5,"Red",IF(K166&gt;0,"Amber","Green")),IF(K166&gt;5,"Red",IF(K166&gt;0,"Amber","Green")))))</f>
        <v>Green</v>
      </c>
      <c r="M166" s="50" t="s">
        <v>91</v>
      </c>
      <c r="N166" s="50"/>
      <c r="O166" s="34" t="str">
        <f aca="false">$O$163</f>
        <v>RPA-024</v>
      </c>
      <c r="P166" s="34"/>
      <c r="Q166" s="51"/>
      <c r="R166" s="34" t="s">
        <v>87</v>
      </c>
      <c r="S166" s="50"/>
      <c r="T166" s="50"/>
      <c r="U166" s="51" t="str">
        <f aca="false">$U$163</f>
        <v>Medium</v>
      </c>
      <c r="V166" s="51" t="str">
        <f aca="false">IF($V$163="","",$V$163)</f>
        <v/>
      </c>
      <c r="W166" s="34" t="str">
        <f aca="false">IF($W$163="","",$W$163)</f>
        <v/>
      </c>
      <c r="X166" s="52" t="n">
        <v>46233.4534722222</v>
      </c>
      <c r="Y166" s="51" t="str">
        <f aca="false">IF($Y$163="","",$Y$163)</f>
        <v>Project Manager</v>
      </c>
    </row>
    <row r="167" customFormat="false" ht="15.75" hidden="false" customHeight="true" outlineLevel="0" collapsed="false">
      <c r="A167" s="51"/>
      <c r="B167" s="51" t="s">
        <v>28</v>
      </c>
      <c r="C167" s="51" t="str">
        <f aca="false">C163</f>
        <v>LOW</v>
      </c>
      <c r="D167" s="51" t="str">
        <f aca="false">D163</f>
        <v>Developer 1</v>
      </c>
      <c r="E167" s="34" t="s">
        <v>9</v>
      </c>
      <c r="F167" s="53" t="n">
        <f aca="false">IF(E167="Completed",100%,IF(OR(E167="In Progress",E167="On Hold"),50%,0%))</f>
        <v>0</v>
      </c>
      <c r="G167" s="49" t="n">
        <f aca="false">H166+1+2*INT((WEEKDAY(H166,1)-1+1)/5)</f>
        <v>46394</v>
      </c>
      <c r="H167" s="49" t="n">
        <f aca="false">G167+(IF(C167="LOW",Settings!$B$8,IF(C167="MEDIUM",Settings!$B$9,Settings!$B$10)))-1+2*INT((WEEKDAY(G167,1)-1+(IF(C167="LOW",Settings!$B$8,IF(C167="MEDIUM",Settings!$B$9,Settings!$B$10)))-1)/5)</f>
        <v>46407</v>
      </c>
      <c r="I167" s="49"/>
      <c r="J167" s="49"/>
      <c r="K167" s="51" t="n">
        <f aca="true">IF(E167="Cancelled","",IF(J167&lt;&gt;"",J167-H167,IF(AND(E167&lt;&gt;"Completed",TODAY()&gt;H167),TODAY()-H167,0)))</f>
        <v>0</v>
      </c>
      <c r="L167" s="51" t="str">
        <f aca="false">IF(E167="Cancelled","Gray",IF(E167="On Hold","Red",IF(E167="Completed",IF(K167&gt;5,"Red",IF(K167&gt;0,"Amber","Green")),IF(K167&gt;5,"Red",IF(K167&gt;0,"Amber","Green")))))</f>
        <v>Green</v>
      </c>
      <c r="M167" s="50" t="s">
        <v>92</v>
      </c>
      <c r="N167" s="50"/>
      <c r="O167" s="34" t="str">
        <f aca="false">$O$163</f>
        <v>RPA-024</v>
      </c>
      <c r="P167" s="34"/>
      <c r="Q167" s="51"/>
      <c r="R167" s="34" t="s">
        <v>87</v>
      </c>
      <c r="S167" s="50"/>
      <c r="T167" s="50"/>
      <c r="U167" s="51" t="str">
        <f aca="false">$U$163</f>
        <v>Medium</v>
      </c>
      <c r="V167" s="51" t="str">
        <f aca="false">IF($V$163="","",$V$163)</f>
        <v/>
      </c>
      <c r="W167" s="34" t="str">
        <f aca="false">IF($W$163="","",$W$163)</f>
        <v/>
      </c>
      <c r="X167" s="52" t="n">
        <v>46233.4534722222</v>
      </c>
      <c r="Y167" s="51" t="str">
        <f aca="false">IF($Y$163="","",$Y$163)</f>
        <v>Project Manager</v>
      </c>
    </row>
    <row r="168" customFormat="false" ht="15.75" hidden="false" customHeight="true" outlineLevel="0" collapsed="false">
      <c r="A168" s="51"/>
      <c r="B168" s="51" t="s">
        <v>30</v>
      </c>
      <c r="C168" s="51" t="str">
        <f aca="false">C163</f>
        <v>LOW</v>
      </c>
      <c r="D168" s="51" t="str">
        <f aca="false">D163</f>
        <v>Developer 1</v>
      </c>
      <c r="E168" s="34" t="s">
        <v>9</v>
      </c>
      <c r="F168" s="53" t="n">
        <f aca="false">IF(E168="Completed",100%,IF(OR(E168="In Progress",E168="On Hold"),50%,0%))</f>
        <v>0</v>
      </c>
      <c r="G168" s="49" t="n">
        <f aca="false">H167+1+2*INT((WEEKDAY(H167,1)-1+1)/5)</f>
        <v>46408</v>
      </c>
      <c r="H168" s="49" t="n">
        <f aca="false">G168+(Settings!$B$11)-1+2*INT((WEEKDAY(G168,1)-1+(Settings!$B$11)-1)/5)</f>
        <v>46411</v>
      </c>
      <c r="I168" s="49"/>
      <c r="J168" s="49"/>
      <c r="K168" s="51" t="n">
        <f aca="true">IF(E168="Cancelled","",IF(J168&lt;&gt;"",J168-H168,IF(AND(E168&lt;&gt;"Completed",TODAY()&gt;H168),TODAY()-H168,0)))</f>
        <v>0</v>
      </c>
      <c r="L168" s="51" t="str">
        <f aca="false">IF(E168="Cancelled","Gray",IF(E168="On Hold","Red",IF(E168="Completed",IF(K168&gt;5,"Red",IF(K168&gt;0,"Amber","Green")),IF(K168&gt;5,"Red",IF(K168&gt;0,"Amber","Green")))))</f>
        <v>Green</v>
      </c>
      <c r="M168" s="50" t="s">
        <v>93</v>
      </c>
      <c r="N168" s="50"/>
      <c r="O168" s="34" t="str">
        <f aca="false">$O$163</f>
        <v>RPA-024</v>
      </c>
      <c r="P168" s="34"/>
      <c r="Q168" s="51"/>
      <c r="R168" s="34" t="s">
        <v>87</v>
      </c>
      <c r="S168" s="50"/>
      <c r="T168" s="50"/>
      <c r="U168" s="51" t="str">
        <f aca="false">$U$163</f>
        <v>Medium</v>
      </c>
      <c r="V168" s="51" t="str">
        <f aca="false">IF($V$163="","",$V$163)</f>
        <v/>
      </c>
      <c r="W168" s="34" t="str">
        <f aca="false">IF($W$163="","",$W$163)</f>
        <v/>
      </c>
      <c r="X168" s="52" t="n">
        <v>46233.4534722222</v>
      </c>
      <c r="Y168" s="51" t="str">
        <f aca="false">IF($Y$163="","",$Y$163)</f>
        <v>Project Manager</v>
      </c>
    </row>
    <row r="169" customFormat="false" ht="15.75" hidden="false" customHeight="true" outlineLevel="0" collapsed="false">
      <c r="A169" s="51"/>
      <c r="B169" s="51" t="s">
        <v>31</v>
      </c>
      <c r="C169" s="51" t="str">
        <f aca="false">C163</f>
        <v>LOW</v>
      </c>
      <c r="D169" s="51" t="str">
        <f aca="false">D163</f>
        <v>Developer 1</v>
      </c>
      <c r="E169" s="34" t="s">
        <v>9</v>
      </c>
      <c r="F169" s="53" t="n">
        <f aca="false">IF(E169="Completed",100%,IF(OR(E169="In Progress",E169="On Hold"),50%,0%))</f>
        <v>0</v>
      </c>
      <c r="G169" s="49" t="n">
        <f aca="false">H168+1+2*INT((WEEKDAY(H168,1)-1+1)/5)</f>
        <v>46412</v>
      </c>
      <c r="H169" s="49" t="n">
        <f aca="false">G169+(Settings!$B$12)-1+2*INT((WEEKDAY(G169,1)-1+(Settings!$B$12)-1)/5)</f>
        <v>46412</v>
      </c>
      <c r="I169" s="49"/>
      <c r="J169" s="49"/>
      <c r="K169" s="51" t="n">
        <f aca="true">IF(E169="Cancelled","",IF(J169&lt;&gt;"",J169-H169,IF(AND(E169&lt;&gt;"Completed",TODAY()&gt;H169),TODAY()-H169,0)))</f>
        <v>0</v>
      </c>
      <c r="L169" s="51" t="str">
        <f aca="false">IF(E169="Cancelled","Gray",IF(E169="On Hold","Red",IF(E169="Completed",IF(K169&gt;5,"Red",IF(K169&gt;0,"Amber","Green")),IF(K169&gt;5,"Red",IF(K169&gt;0,"Amber","Green")))))</f>
        <v>Green</v>
      </c>
      <c r="M169" s="50" t="s">
        <v>92</v>
      </c>
      <c r="N169" s="50"/>
      <c r="O169" s="34" t="str">
        <f aca="false">$O$163</f>
        <v>RPA-024</v>
      </c>
      <c r="P169" s="34"/>
      <c r="Q169" s="51"/>
      <c r="R169" s="34" t="s">
        <v>87</v>
      </c>
      <c r="S169" s="50"/>
      <c r="T169" s="50"/>
      <c r="U169" s="51" t="str">
        <f aca="false">$U$163</f>
        <v>Medium</v>
      </c>
      <c r="V169" s="51" t="str">
        <f aca="false">IF($V$163="","",$V$163)</f>
        <v/>
      </c>
      <c r="W169" s="34" t="str">
        <f aca="false">IF($W$163="","",$W$163)</f>
        <v/>
      </c>
      <c r="X169" s="52" t="n">
        <v>46233.4534722222</v>
      </c>
      <c r="Y169" s="51" t="str">
        <f aca="false">IF($Y$163="","",$Y$163)</f>
        <v>Project Manager</v>
      </c>
    </row>
    <row r="170" customFormat="false" ht="15" hidden="false" customHeight="false" outlineLevel="0" collapsed="false">
      <c r="A170" s="41" t="s">
        <v>54</v>
      </c>
      <c r="B170" s="41" t="s">
        <v>85</v>
      </c>
      <c r="C170" s="41" t="str">
        <f aca="false">'Process Summary'!B28</f>
        <v>LOW</v>
      </c>
      <c r="D170" s="41" t="str">
        <f aca="false">'Process Summary'!C28</f>
        <v>Developer 2</v>
      </c>
      <c r="E170" s="41" t="str">
        <f aca="false">IF(F170=100%,"Completed",IF(E171="On Hold","On Hold",IF(E172="On Hold","On Hold",IF(E173="On Hold","On Hold",IF(E174="On Hold","On Hold",IF(E175="On Hold","On Hold",IF(E176="On Hold","On Hold",IF(F170&gt;0%,"In Progress","Not Started"))))))))</f>
        <v>Not Started</v>
      </c>
      <c r="F170" s="42" t="n">
        <f aca="false">(F171*3+F172*5+F173+F174*IF(C170="LOW",13,IF(C170="MEDIUM",23,33))+F175*2+F176)/(12+IF(C170="LOW",13,IF(C170="MEDIUM",23,33)))</f>
        <v>0</v>
      </c>
      <c r="G170" s="43" t="n">
        <f aca="false">'Process Summary'!G28</f>
        <v>46420</v>
      </c>
      <c r="H170" s="43" t="n">
        <f aca="false">H176</f>
        <v>46449</v>
      </c>
      <c r="I170" s="43" t="str">
        <f aca="false">IF(COUNT(I171:I176)=0,"",MIN(I171:I176))</f>
        <v/>
      </c>
      <c r="J170" s="43" t="str">
        <f aca="false">IF(COUNT(J171:J176)=0,"",MAX(J171:J176))</f>
        <v/>
      </c>
      <c r="K170" s="41" t="n">
        <f aca="true">IF(E170="Cancelled","",IF(J170&lt;&gt;"",J170-H170,IF(AND(E170&lt;&gt;"Completed",TODAY()&gt;H170),TODAY()-H170,0)))</f>
        <v>0</v>
      </c>
      <c r="L170" s="41" t="str">
        <f aca="false">IF(E170="Cancelled","Gray",IF(E170="On Hold","Red",IF(E170="Completed",IF(K170&gt;5,"Red",IF(K170&gt;0,"Amber","Green")),IF(K170&gt;5,"Red",IF(K170&gt;0,"Amber","Green")))))</f>
        <v>Green</v>
      </c>
      <c r="M170" s="44"/>
      <c r="N170" s="44"/>
      <c r="O170" s="41" t="s">
        <v>118</v>
      </c>
      <c r="P170" s="41"/>
      <c r="Q170" s="41"/>
      <c r="R170" s="41" t="s">
        <v>87</v>
      </c>
      <c r="S170" s="44"/>
      <c r="T170" s="44"/>
      <c r="U170" s="41" t="s">
        <v>88</v>
      </c>
      <c r="V170" s="41"/>
      <c r="W170" s="41"/>
      <c r="X170" s="45" t="n">
        <v>46233.4534722222</v>
      </c>
      <c r="Y170" s="41" t="s">
        <v>89</v>
      </c>
    </row>
    <row r="171" customFormat="false" ht="15.75" hidden="false" customHeight="true" outlineLevel="0" collapsed="false">
      <c r="A171" s="46"/>
      <c r="B171" s="46" t="s">
        <v>22</v>
      </c>
      <c r="C171" s="46" t="str">
        <f aca="false">C170</f>
        <v>LOW</v>
      </c>
      <c r="D171" s="46" t="str">
        <f aca="false">D170</f>
        <v>Developer 2</v>
      </c>
      <c r="E171" s="34" t="s">
        <v>9</v>
      </c>
      <c r="F171" s="47" t="n">
        <f aca="false">IF(E171="Completed",100%,IF(OR(E171="In Progress",E171="On Hold"),50%,0%))</f>
        <v>0</v>
      </c>
      <c r="G171" s="48" t="n">
        <f aca="false">G170</f>
        <v>46420</v>
      </c>
      <c r="H171" s="48" t="n">
        <f aca="false">G171+(Settings!$B$5)-1+2*INT((WEEKDAY(G171,1)-1+(Settings!$B$5)-1)/5)</f>
        <v>46422</v>
      </c>
      <c r="I171" s="49"/>
      <c r="J171" s="49"/>
      <c r="K171" s="46" t="n">
        <f aca="true">IF(E171="Cancelled","",IF(J171&lt;&gt;"",J171-H171,IF(AND(E171&lt;&gt;"Completed",TODAY()&gt;H171),TODAY()-H171,0)))</f>
        <v>0</v>
      </c>
      <c r="L171" s="46" t="str">
        <f aca="false">IF(E171="Cancelled","Gray",IF(E171="On Hold","Red",IF(E171="Completed",IF(K171&gt;5,"Red",IF(K171&gt;0,"Amber","Green")),IF(K171&gt;5,"Red",IF(K171&gt;0,"Amber","Green")))))</f>
        <v>Green</v>
      </c>
      <c r="M171" s="50" t="s">
        <v>90</v>
      </c>
      <c r="N171" s="50"/>
      <c r="O171" s="34" t="str">
        <f aca="false">$O$170</f>
        <v>RPA-025</v>
      </c>
      <c r="P171" s="34"/>
      <c r="Q171" s="51"/>
      <c r="R171" s="34" t="s">
        <v>87</v>
      </c>
      <c r="S171" s="50"/>
      <c r="T171" s="50"/>
      <c r="U171" s="51" t="str">
        <f aca="false">$U$170</f>
        <v>Medium</v>
      </c>
      <c r="V171" s="51" t="str">
        <f aca="false">IF($V$170="","",$V$170)</f>
        <v/>
      </c>
      <c r="W171" s="34" t="str">
        <f aca="false">IF($W$170="","",$W$170)</f>
        <v/>
      </c>
      <c r="X171" s="52" t="n">
        <v>46233.4534722222</v>
      </c>
      <c r="Y171" s="51" t="str">
        <f aca="false">IF($Y$170="","",$Y$170)</f>
        <v>Project Manager</v>
      </c>
    </row>
    <row r="172" customFormat="false" ht="15.75" hidden="false" customHeight="true" outlineLevel="0" collapsed="false">
      <c r="A172" s="46"/>
      <c r="B172" s="46" t="s">
        <v>24</v>
      </c>
      <c r="C172" s="46" t="str">
        <f aca="false">C170</f>
        <v>LOW</v>
      </c>
      <c r="D172" s="46" t="str">
        <f aca="false">D170</f>
        <v>Developer 2</v>
      </c>
      <c r="E172" s="34" t="s">
        <v>9</v>
      </c>
      <c r="F172" s="47" t="n">
        <f aca="false">IF(E172="Completed",100%,IF(OR(E172="In Progress",E172="On Hold"),50%,0%))</f>
        <v>0</v>
      </c>
      <c r="G172" s="48" t="n">
        <f aca="false">H171+1+2*INT((WEEKDAY(H171,1)-1+1)/5)</f>
        <v>46425</v>
      </c>
      <c r="H172" s="48" t="n">
        <f aca="false">G172+(Settings!$B$6)-1+2*INT((WEEKDAY(G172,1)-1+(Settings!$B$6)-1)/5)</f>
        <v>46429</v>
      </c>
      <c r="I172" s="49"/>
      <c r="J172" s="49"/>
      <c r="K172" s="46" t="n">
        <f aca="true">IF(E172="Cancelled","",IF(J172&lt;&gt;"",J172-H172,IF(AND(E172&lt;&gt;"Completed",TODAY()&gt;H172),TODAY()-H172,0)))</f>
        <v>0</v>
      </c>
      <c r="L172" s="46" t="str">
        <f aca="false">IF(E172="Cancelled","Gray",IF(E172="On Hold","Red",IF(E172="Completed",IF(K172&gt;5,"Red",IF(K172&gt;0,"Amber","Green")),IF(K172&gt;5,"Red",IF(K172&gt;0,"Amber","Green")))))</f>
        <v>Green</v>
      </c>
      <c r="M172" s="50" t="s">
        <v>90</v>
      </c>
      <c r="N172" s="50"/>
      <c r="O172" s="34" t="str">
        <f aca="false">$O$170</f>
        <v>RPA-025</v>
      </c>
      <c r="P172" s="34"/>
      <c r="Q172" s="51"/>
      <c r="R172" s="34" t="s">
        <v>87</v>
      </c>
      <c r="S172" s="50"/>
      <c r="T172" s="50"/>
      <c r="U172" s="51" t="str">
        <f aca="false">$U$170</f>
        <v>Medium</v>
      </c>
      <c r="V172" s="51" t="str">
        <f aca="false">IF($V$170="","",$V$170)</f>
        <v/>
      </c>
      <c r="W172" s="34" t="str">
        <f aca="false">IF($W$170="","",$W$170)</f>
        <v/>
      </c>
      <c r="X172" s="52" t="n">
        <v>46233.4534722222</v>
      </c>
      <c r="Y172" s="51" t="str">
        <f aca="false">IF($Y$170="","",$Y$170)</f>
        <v>Project Manager</v>
      </c>
    </row>
    <row r="173" customFormat="false" ht="15.75" hidden="false" customHeight="true" outlineLevel="0" collapsed="false">
      <c r="A173" s="46"/>
      <c r="B173" s="46" t="s">
        <v>26</v>
      </c>
      <c r="C173" s="46" t="str">
        <f aca="false">C170</f>
        <v>LOW</v>
      </c>
      <c r="D173" s="46" t="str">
        <f aca="false">D170</f>
        <v>Developer 2</v>
      </c>
      <c r="E173" s="34" t="s">
        <v>9</v>
      </c>
      <c r="F173" s="47" t="n">
        <f aca="false">IF(E173="Completed",100%,IF(OR(E173="In Progress",E173="On Hold"),50%,0%))</f>
        <v>0</v>
      </c>
      <c r="G173" s="48" t="n">
        <f aca="false">H172+1+2*INT((WEEKDAY(H172,1)-1+1)/5)</f>
        <v>46432</v>
      </c>
      <c r="H173" s="48" t="n">
        <f aca="false">G173+(Settings!$B$7)-1+2*INT((WEEKDAY(G173,1)-1+(Settings!$B$7)-1)/5)</f>
        <v>46432</v>
      </c>
      <c r="I173" s="49"/>
      <c r="J173" s="49"/>
      <c r="K173" s="46" t="n">
        <f aca="true">IF(E173="Cancelled","",IF(J173&lt;&gt;"",J173-H173,IF(AND(E173&lt;&gt;"Completed",TODAY()&gt;H173),TODAY()-H173,0)))</f>
        <v>0</v>
      </c>
      <c r="L173" s="46" t="str">
        <f aca="false">IF(E173="Cancelled","Gray",IF(E173="On Hold","Red",IF(E173="Completed",IF(K173&gt;5,"Red",IF(K173&gt;0,"Amber","Green")),IF(K173&gt;5,"Red",IF(K173&gt;0,"Amber","Green")))))</f>
        <v>Green</v>
      </c>
      <c r="M173" s="50" t="s">
        <v>91</v>
      </c>
      <c r="N173" s="50"/>
      <c r="O173" s="34" t="str">
        <f aca="false">$O$170</f>
        <v>RPA-025</v>
      </c>
      <c r="P173" s="34"/>
      <c r="Q173" s="51"/>
      <c r="R173" s="34" t="s">
        <v>87</v>
      </c>
      <c r="S173" s="50"/>
      <c r="T173" s="50"/>
      <c r="U173" s="51" t="str">
        <f aca="false">$U$170</f>
        <v>Medium</v>
      </c>
      <c r="V173" s="51" t="str">
        <f aca="false">IF($V$170="","",$V$170)</f>
        <v/>
      </c>
      <c r="W173" s="34" t="str">
        <f aca="false">IF($W$170="","",$W$170)</f>
        <v/>
      </c>
      <c r="X173" s="52" t="n">
        <v>46233.4534722222</v>
      </c>
      <c r="Y173" s="51" t="str">
        <f aca="false">IF($Y$170="","",$Y$170)</f>
        <v>Project Manager</v>
      </c>
    </row>
    <row r="174" customFormat="false" ht="15.75" hidden="false" customHeight="true" outlineLevel="0" collapsed="false">
      <c r="A174" s="46"/>
      <c r="B174" s="46" t="s">
        <v>28</v>
      </c>
      <c r="C174" s="46" t="str">
        <f aca="false">C170</f>
        <v>LOW</v>
      </c>
      <c r="D174" s="46" t="str">
        <f aca="false">D170</f>
        <v>Developer 2</v>
      </c>
      <c r="E174" s="34" t="s">
        <v>9</v>
      </c>
      <c r="F174" s="47" t="n">
        <f aca="false">IF(E174="Completed",100%,IF(OR(E174="In Progress",E174="On Hold"),50%,0%))</f>
        <v>0</v>
      </c>
      <c r="G174" s="48" t="n">
        <f aca="false">H173+1+2*INT((WEEKDAY(H173,1)-1+1)/5)</f>
        <v>46433</v>
      </c>
      <c r="H174" s="48" t="n">
        <f aca="false">G174+(IF(C174="LOW",Settings!$B$8,IF(C174="MEDIUM",Settings!$B$9,Settings!$B$10)))-1+2*INT((WEEKDAY(G174,1)-1+(IF(C174="LOW",Settings!$B$8,IF(C174="MEDIUM",Settings!$B$9,Settings!$B$10)))-1)/5)</f>
        <v>46446</v>
      </c>
      <c r="I174" s="49"/>
      <c r="J174" s="49"/>
      <c r="K174" s="46" t="n">
        <f aca="true">IF(E174="Cancelled","",IF(J174&lt;&gt;"",J174-H174,IF(AND(E174&lt;&gt;"Completed",TODAY()&gt;H174),TODAY()-H174,0)))</f>
        <v>0</v>
      </c>
      <c r="L174" s="46" t="str">
        <f aca="false">IF(E174="Cancelled","Gray",IF(E174="On Hold","Red",IF(E174="Completed",IF(K174&gt;5,"Red",IF(K174&gt;0,"Amber","Green")),IF(K174&gt;5,"Red",IF(K174&gt;0,"Amber","Green")))))</f>
        <v>Green</v>
      </c>
      <c r="M174" s="50" t="s">
        <v>92</v>
      </c>
      <c r="N174" s="50"/>
      <c r="O174" s="34" t="str">
        <f aca="false">$O$170</f>
        <v>RPA-025</v>
      </c>
      <c r="P174" s="34"/>
      <c r="Q174" s="51"/>
      <c r="R174" s="34" t="s">
        <v>87</v>
      </c>
      <c r="S174" s="50"/>
      <c r="T174" s="50"/>
      <c r="U174" s="51" t="str">
        <f aca="false">$U$170</f>
        <v>Medium</v>
      </c>
      <c r="V174" s="51" t="str">
        <f aca="false">IF($V$170="","",$V$170)</f>
        <v/>
      </c>
      <c r="W174" s="34" t="str">
        <f aca="false">IF($W$170="","",$W$170)</f>
        <v/>
      </c>
      <c r="X174" s="52" t="n">
        <v>46233.4534722222</v>
      </c>
      <c r="Y174" s="51" t="str">
        <f aca="false">IF($Y$170="","",$Y$170)</f>
        <v>Project Manager</v>
      </c>
    </row>
    <row r="175" customFormat="false" ht="15.75" hidden="false" customHeight="true" outlineLevel="0" collapsed="false">
      <c r="A175" s="46"/>
      <c r="B175" s="46" t="s">
        <v>30</v>
      </c>
      <c r="C175" s="46" t="str">
        <f aca="false">C170</f>
        <v>LOW</v>
      </c>
      <c r="D175" s="46" t="str">
        <f aca="false">D170</f>
        <v>Developer 2</v>
      </c>
      <c r="E175" s="34" t="s">
        <v>9</v>
      </c>
      <c r="F175" s="47" t="n">
        <f aca="false">IF(E175="Completed",100%,IF(OR(E175="In Progress",E175="On Hold"),50%,0%))</f>
        <v>0</v>
      </c>
      <c r="G175" s="48" t="n">
        <f aca="false">H174+1+2*INT((WEEKDAY(H174,1)-1+1)/5)</f>
        <v>46447</v>
      </c>
      <c r="H175" s="48" t="n">
        <f aca="false">G175+(Settings!$B$11)-1+2*INT((WEEKDAY(G175,1)-1+(Settings!$B$11)-1)/5)</f>
        <v>46448</v>
      </c>
      <c r="I175" s="49"/>
      <c r="J175" s="49"/>
      <c r="K175" s="46" t="n">
        <f aca="true">IF(E175="Cancelled","",IF(J175&lt;&gt;"",J175-H175,IF(AND(E175&lt;&gt;"Completed",TODAY()&gt;H175),TODAY()-H175,0)))</f>
        <v>0</v>
      </c>
      <c r="L175" s="46" t="str">
        <f aca="false">IF(E175="Cancelled","Gray",IF(E175="On Hold","Red",IF(E175="Completed",IF(K175&gt;5,"Red",IF(K175&gt;0,"Amber","Green")),IF(K175&gt;5,"Red",IF(K175&gt;0,"Amber","Green")))))</f>
        <v>Green</v>
      </c>
      <c r="M175" s="50" t="s">
        <v>93</v>
      </c>
      <c r="N175" s="50"/>
      <c r="O175" s="34" t="str">
        <f aca="false">$O$170</f>
        <v>RPA-025</v>
      </c>
      <c r="P175" s="34"/>
      <c r="Q175" s="51"/>
      <c r="R175" s="34" t="s">
        <v>87</v>
      </c>
      <c r="S175" s="50"/>
      <c r="T175" s="50"/>
      <c r="U175" s="51" t="str">
        <f aca="false">$U$170</f>
        <v>Medium</v>
      </c>
      <c r="V175" s="51" t="str">
        <f aca="false">IF($V$170="","",$V$170)</f>
        <v/>
      </c>
      <c r="W175" s="34" t="str">
        <f aca="false">IF($W$170="","",$W$170)</f>
        <v/>
      </c>
      <c r="X175" s="52" t="n">
        <v>46233.4534722222</v>
      </c>
      <c r="Y175" s="51" t="str">
        <f aca="false">IF($Y$170="","",$Y$170)</f>
        <v>Project Manager</v>
      </c>
    </row>
    <row r="176" customFormat="false" ht="15.75" hidden="false" customHeight="true" outlineLevel="0" collapsed="false">
      <c r="A176" s="46"/>
      <c r="B176" s="46" t="s">
        <v>31</v>
      </c>
      <c r="C176" s="46" t="str">
        <f aca="false">C170</f>
        <v>LOW</v>
      </c>
      <c r="D176" s="46" t="str">
        <f aca="false">D170</f>
        <v>Developer 2</v>
      </c>
      <c r="E176" s="34" t="s">
        <v>9</v>
      </c>
      <c r="F176" s="47" t="n">
        <f aca="false">IF(E176="Completed",100%,IF(OR(E176="In Progress",E176="On Hold"),50%,0%))</f>
        <v>0</v>
      </c>
      <c r="G176" s="48" t="n">
        <f aca="false">H175+1+2*INT((WEEKDAY(H175,1)-1+1)/5)</f>
        <v>46449</v>
      </c>
      <c r="H176" s="48" t="n">
        <f aca="false">G176+(Settings!$B$12)-1+2*INT((WEEKDAY(G176,1)-1+(Settings!$B$12)-1)/5)</f>
        <v>46449</v>
      </c>
      <c r="I176" s="49"/>
      <c r="J176" s="49"/>
      <c r="K176" s="46" t="n">
        <f aca="true">IF(E176="Cancelled","",IF(J176&lt;&gt;"",J176-H176,IF(AND(E176&lt;&gt;"Completed",TODAY()&gt;H176),TODAY()-H176,0)))</f>
        <v>0</v>
      </c>
      <c r="L176" s="46" t="str">
        <f aca="false">IF(E176="Cancelled","Gray",IF(E176="On Hold","Red",IF(E176="Completed",IF(K176&gt;5,"Red",IF(K176&gt;0,"Amber","Green")),IF(K176&gt;5,"Red",IF(K176&gt;0,"Amber","Green")))))</f>
        <v>Green</v>
      </c>
      <c r="M176" s="50" t="s">
        <v>92</v>
      </c>
      <c r="N176" s="50"/>
      <c r="O176" s="34" t="str">
        <f aca="false">$O$170</f>
        <v>RPA-025</v>
      </c>
      <c r="P176" s="34"/>
      <c r="Q176" s="51"/>
      <c r="R176" s="34" t="s">
        <v>87</v>
      </c>
      <c r="S176" s="50"/>
      <c r="T176" s="50"/>
      <c r="U176" s="51" t="str">
        <f aca="false">$U$170</f>
        <v>Medium</v>
      </c>
      <c r="V176" s="51" t="str">
        <f aca="false">IF($V$170="","",$V$170)</f>
        <v/>
      </c>
      <c r="W176" s="34" t="str">
        <f aca="false">IF($W$170="","",$W$170)</f>
        <v/>
      </c>
      <c r="X176" s="52" t="n">
        <v>46233.4534722222</v>
      </c>
      <c r="Y176" s="51" t="str">
        <f aca="false">IF($Y$170="","",$Y$170)</f>
        <v>Project Manager</v>
      </c>
    </row>
    <row r="177" customFormat="false" ht="15" hidden="false" customHeight="false" outlineLevel="0" collapsed="false">
      <c r="A177" s="41" t="s">
        <v>54</v>
      </c>
      <c r="B177" s="41" t="s">
        <v>85</v>
      </c>
      <c r="C177" s="41" t="str">
        <f aca="false">'Process Summary'!B29</f>
        <v>LOW</v>
      </c>
      <c r="D177" s="41" t="str">
        <f aca="false">'Process Summary'!C29</f>
        <v>Developer 3</v>
      </c>
      <c r="E177" s="41" t="str">
        <f aca="false">IF(F177=100%,"Completed",IF(E178="On Hold","On Hold",IF(E179="On Hold","On Hold",IF(E180="On Hold","On Hold",IF(E181="On Hold","On Hold",IF(E182="On Hold","On Hold",IF(E183="On Hold","On Hold",IF(F177&gt;0%,"In Progress","Not Started"))))))))</f>
        <v>Not Started</v>
      </c>
      <c r="F177" s="42" t="n">
        <f aca="false">(F178*3+F179*5+F180+F181*IF(C177="LOW",13,IF(C177="MEDIUM",23,33))+F182*2+F183)/(12+IF(C177="LOW",13,IF(C177="MEDIUM",23,33)))</f>
        <v>0</v>
      </c>
      <c r="G177" s="43" t="n">
        <f aca="false">'Process Summary'!G29</f>
        <v>46413</v>
      </c>
      <c r="H177" s="43" t="n">
        <f aca="false">H183</f>
        <v>46442</v>
      </c>
      <c r="I177" s="43" t="str">
        <f aca="false">IF(COUNT(I178:I183)=0,"",MIN(I178:I183))</f>
        <v/>
      </c>
      <c r="J177" s="43" t="str">
        <f aca="false">IF(COUNT(J178:J183)=0,"",MAX(J178:J183))</f>
        <v/>
      </c>
      <c r="K177" s="41" t="n">
        <f aca="true">IF(E177="Cancelled","",IF(J177&lt;&gt;"",J177-H177,IF(AND(E177&lt;&gt;"Completed",TODAY()&gt;H177),TODAY()-H177,0)))</f>
        <v>0</v>
      </c>
      <c r="L177" s="41" t="str">
        <f aca="false">IF(E177="Cancelled","Gray",IF(E177="On Hold","Red",IF(E177="Completed",IF(K177&gt;5,"Red",IF(K177&gt;0,"Amber","Green")),IF(K177&gt;5,"Red",IF(K177&gt;0,"Amber","Green")))))</f>
        <v>Green</v>
      </c>
      <c r="M177" s="44"/>
      <c r="N177" s="44"/>
      <c r="O177" s="41" t="s">
        <v>119</v>
      </c>
      <c r="P177" s="41"/>
      <c r="Q177" s="41"/>
      <c r="R177" s="41" t="s">
        <v>87</v>
      </c>
      <c r="S177" s="44"/>
      <c r="T177" s="44"/>
      <c r="U177" s="41" t="s">
        <v>88</v>
      </c>
      <c r="V177" s="41"/>
      <c r="W177" s="41"/>
      <c r="X177" s="45" t="n">
        <v>46233.4534722222</v>
      </c>
      <c r="Y177" s="41" t="s">
        <v>89</v>
      </c>
    </row>
    <row r="178" customFormat="false" ht="15.75" hidden="false" customHeight="true" outlineLevel="0" collapsed="false">
      <c r="A178" s="51"/>
      <c r="B178" s="51" t="s">
        <v>22</v>
      </c>
      <c r="C178" s="51" t="str">
        <f aca="false">C177</f>
        <v>LOW</v>
      </c>
      <c r="D178" s="51" t="str">
        <f aca="false">D177</f>
        <v>Developer 3</v>
      </c>
      <c r="E178" s="34" t="s">
        <v>9</v>
      </c>
      <c r="F178" s="53" t="n">
        <f aca="false">IF(E178="Completed",100%,IF(OR(E178="In Progress",E178="On Hold"),50%,0%))</f>
        <v>0</v>
      </c>
      <c r="G178" s="49" t="n">
        <f aca="false">G177</f>
        <v>46413</v>
      </c>
      <c r="H178" s="49" t="n">
        <f aca="false">G178+(Settings!$B$5)-1+2*INT((WEEKDAY(G178,1)-1+(Settings!$B$5)-1)/5)</f>
        <v>46415</v>
      </c>
      <c r="I178" s="49"/>
      <c r="J178" s="49"/>
      <c r="K178" s="51" t="n">
        <f aca="true">IF(E178="Cancelled","",IF(J178&lt;&gt;"",J178-H178,IF(AND(E178&lt;&gt;"Completed",TODAY()&gt;H178),TODAY()-H178,0)))</f>
        <v>0</v>
      </c>
      <c r="L178" s="51" t="str">
        <f aca="false">IF(E178="Cancelled","Gray",IF(E178="On Hold","Red",IF(E178="Completed",IF(K178&gt;5,"Red",IF(K178&gt;0,"Amber","Green")),IF(K178&gt;5,"Red",IF(K178&gt;0,"Amber","Green")))))</f>
        <v>Green</v>
      </c>
      <c r="M178" s="50" t="s">
        <v>90</v>
      </c>
      <c r="N178" s="50"/>
      <c r="O178" s="34" t="str">
        <f aca="false">$O$177</f>
        <v>RPA-026</v>
      </c>
      <c r="P178" s="34"/>
      <c r="Q178" s="51"/>
      <c r="R178" s="34" t="s">
        <v>87</v>
      </c>
      <c r="S178" s="50"/>
      <c r="T178" s="50"/>
      <c r="U178" s="51" t="str">
        <f aca="false">$U$177</f>
        <v>Medium</v>
      </c>
      <c r="V178" s="51" t="str">
        <f aca="false">IF($V$177="","",$V$177)</f>
        <v/>
      </c>
      <c r="W178" s="34" t="str">
        <f aca="false">IF($W$177="","",$W$177)</f>
        <v/>
      </c>
      <c r="X178" s="52" t="n">
        <v>46233.4534722222</v>
      </c>
      <c r="Y178" s="51" t="str">
        <f aca="false">IF($Y$177="","",$Y$177)</f>
        <v>Project Manager</v>
      </c>
    </row>
    <row r="179" customFormat="false" ht="15.75" hidden="false" customHeight="true" outlineLevel="0" collapsed="false">
      <c r="A179" s="51"/>
      <c r="B179" s="51" t="s">
        <v>24</v>
      </c>
      <c r="C179" s="51" t="str">
        <f aca="false">C177</f>
        <v>LOW</v>
      </c>
      <c r="D179" s="51" t="str">
        <f aca="false">D177</f>
        <v>Developer 3</v>
      </c>
      <c r="E179" s="34" t="s">
        <v>9</v>
      </c>
      <c r="F179" s="53" t="n">
        <f aca="false">IF(E179="Completed",100%,IF(OR(E179="In Progress",E179="On Hold"),50%,0%))</f>
        <v>0</v>
      </c>
      <c r="G179" s="49" t="n">
        <f aca="false">H178+1+2*INT((WEEKDAY(H178,1)-1+1)/5)</f>
        <v>46418</v>
      </c>
      <c r="H179" s="49" t="n">
        <f aca="false">G179+(Settings!$B$6)-1+2*INT((WEEKDAY(G179,1)-1+(Settings!$B$6)-1)/5)</f>
        <v>46422</v>
      </c>
      <c r="I179" s="49"/>
      <c r="J179" s="49"/>
      <c r="K179" s="51" t="n">
        <f aca="true">IF(E179="Cancelled","",IF(J179&lt;&gt;"",J179-H179,IF(AND(E179&lt;&gt;"Completed",TODAY()&gt;H179),TODAY()-H179,0)))</f>
        <v>0</v>
      </c>
      <c r="L179" s="51" t="str">
        <f aca="false">IF(E179="Cancelled","Gray",IF(E179="On Hold","Red",IF(E179="Completed",IF(K179&gt;5,"Red",IF(K179&gt;0,"Amber","Green")),IF(K179&gt;5,"Red",IF(K179&gt;0,"Amber","Green")))))</f>
        <v>Green</v>
      </c>
      <c r="M179" s="50" t="s">
        <v>90</v>
      </c>
      <c r="N179" s="50"/>
      <c r="O179" s="34" t="str">
        <f aca="false">$O$177</f>
        <v>RPA-026</v>
      </c>
      <c r="P179" s="34"/>
      <c r="Q179" s="51"/>
      <c r="R179" s="34" t="s">
        <v>87</v>
      </c>
      <c r="S179" s="50"/>
      <c r="T179" s="50"/>
      <c r="U179" s="51" t="str">
        <f aca="false">$U$177</f>
        <v>Medium</v>
      </c>
      <c r="V179" s="51" t="str">
        <f aca="false">IF($V$177="","",$V$177)</f>
        <v/>
      </c>
      <c r="W179" s="34" t="str">
        <f aca="false">IF($W$177="","",$W$177)</f>
        <v/>
      </c>
      <c r="X179" s="52" t="n">
        <v>46233.4534722222</v>
      </c>
      <c r="Y179" s="51" t="str">
        <f aca="false">IF($Y$177="","",$Y$177)</f>
        <v>Project Manager</v>
      </c>
    </row>
    <row r="180" customFormat="false" ht="15.75" hidden="false" customHeight="true" outlineLevel="0" collapsed="false">
      <c r="A180" s="51"/>
      <c r="B180" s="51" t="s">
        <v>26</v>
      </c>
      <c r="C180" s="51" t="str">
        <f aca="false">C177</f>
        <v>LOW</v>
      </c>
      <c r="D180" s="51" t="str">
        <f aca="false">D177</f>
        <v>Developer 3</v>
      </c>
      <c r="E180" s="34" t="s">
        <v>9</v>
      </c>
      <c r="F180" s="53" t="n">
        <f aca="false">IF(E180="Completed",100%,IF(OR(E180="In Progress",E180="On Hold"),50%,0%))</f>
        <v>0</v>
      </c>
      <c r="G180" s="49" t="n">
        <f aca="false">H179+1+2*INT((WEEKDAY(H179,1)-1+1)/5)</f>
        <v>46425</v>
      </c>
      <c r="H180" s="49" t="n">
        <f aca="false">G180+(Settings!$B$7)-1+2*INT((WEEKDAY(G180,1)-1+(Settings!$B$7)-1)/5)</f>
        <v>46425</v>
      </c>
      <c r="I180" s="49"/>
      <c r="J180" s="49"/>
      <c r="K180" s="51" t="n">
        <f aca="true">IF(E180="Cancelled","",IF(J180&lt;&gt;"",J180-H180,IF(AND(E180&lt;&gt;"Completed",TODAY()&gt;H180),TODAY()-H180,0)))</f>
        <v>0</v>
      </c>
      <c r="L180" s="51" t="str">
        <f aca="false">IF(E180="Cancelled","Gray",IF(E180="On Hold","Red",IF(E180="Completed",IF(K180&gt;5,"Red",IF(K180&gt;0,"Amber","Green")),IF(K180&gt;5,"Red",IF(K180&gt;0,"Amber","Green")))))</f>
        <v>Green</v>
      </c>
      <c r="M180" s="50" t="s">
        <v>91</v>
      </c>
      <c r="N180" s="50"/>
      <c r="O180" s="34" t="str">
        <f aca="false">$O$177</f>
        <v>RPA-026</v>
      </c>
      <c r="P180" s="34"/>
      <c r="Q180" s="51"/>
      <c r="R180" s="34" t="s">
        <v>87</v>
      </c>
      <c r="S180" s="50"/>
      <c r="T180" s="50"/>
      <c r="U180" s="51" t="str">
        <f aca="false">$U$177</f>
        <v>Medium</v>
      </c>
      <c r="V180" s="51" t="str">
        <f aca="false">IF($V$177="","",$V$177)</f>
        <v/>
      </c>
      <c r="W180" s="34" t="str">
        <f aca="false">IF($W$177="","",$W$177)</f>
        <v/>
      </c>
      <c r="X180" s="52" t="n">
        <v>46233.4534722222</v>
      </c>
      <c r="Y180" s="51" t="str">
        <f aca="false">IF($Y$177="","",$Y$177)</f>
        <v>Project Manager</v>
      </c>
    </row>
    <row r="181" customFormat="false" ht="15.75" hidden="false" customHeight="true" outlineLevel="0" collapsed="false">
      <c r="A181" s="51"/>
      <c r="B181" s="51" t="s">
        <v>28</v>
      </c>
      <c r="C181" s="51" t="str">
        <f aca="false">C177</f>
        <v>LOW</v>
      </c>
      <c r="D181" s="51" t="str">
        <f aca="false">D177</f>
        <v>Developer 3</v>
      </c>
      <c r="E181" s="34" t="s">
        <v>9</v>
      </c>
      <c r="F181" s="53" t="n">
        <f aca="false">IF(E181="Completed",100%,IF(OR(E181="In Progress",E181="On Hold"),50%,0%))</f>
        <v>0</v>
      </c>
      <c r="G181" s="49" t="n">
        <f aca="false">H180+1+2*INT((WEEKDAY(H180,1)-1+1)/5)</f>
        <v>46426</v>
      </c>
      <c r="H181" s="49" t="n">
        <f aca="false">G181+(IF(C181="LOW",Settings!$B$8,IF(C181="MEDIUM",Settings!$B$9,Settings!$B$10)))-1+2*INT((WEEKDAY(G181,1)-1+(IF(C181="LOW",Settings!$B$8,IF(C181="MEDIUM",Settings!$B$9,Settings!$B$10)))-1)/5)</f>
        <v>46439</v>
      </c>
      <c r="I181" s="49"/>
      <c r="J181" s="49"/>
      <c r="K181" s="51" t="n">
        <f aca="true">IF(E181="Cancelled","",IF(J181&lt;&gt;"",J181-H181,IF(AND(E181&lt;&gt;"Completed",TODAY()&gt;H181),TODAY()-H181,0)))</f>
        <v>0</v>
      </c>
      <c r="L181" s="51" t="str">
        <f aca="false">IF(E181="Cancelled","Gray",IF(E181="On Hold","Red",IF(E181="Completed",IF(K181&gt;5,"Red",IF(K181&gt;0,"Amber","Green")),IF(K181&gt;5,"Red",IF(K181&gt;0,"Amber","Green")))))</f>
        <v>Green</v>
      </c>
      <c r="M181" s="50" t="s">
        <v>92</v>
      </c>
      <c r="N181" s="50"/>
      <c r="O181" s="34" t="str">
        <f aca="false">$O$177</f>
        <v>RPA-026</v>
      </c>
      <c r="P181" s="34"/>
      <c r="Q181" s="51"/>
      <c r="R181" s="34" t="s">
        <v>87</v>
      </c>
      <c r="S181" s="50"/>
      <c r="T181" s="50"/>
      <c r="U181" s="51" t="str">
        <f aca="false">$U$177</f>
        <v>Medium</v>
      </c>
      <c r="V181" s="51" t="str">
        <f aca="false">IF($V$177="","",$V$177)</f>
        <v/>
      </c>
      <c r="W181" s="34" t="str">
        <f aca="false">IF($W$177="","",$W$177)</f>
        <v/>
      </c>
      <c r="X181" s="52" t="n">
        <v>46233.4534722222</v>
      </c>
      <c r="Y181" s="51" t="str">
        <f aca="false">IF($Y$177="","",$Y$177)</f>
        <v>Project Manager</v>
      </c>
    </row>
    <row r="182" customFormat="false" ht="15.75" hidden="false" customHeight="true" outlineLevel="0" collapsed="false">
      <c r="A182" s="51"/>
      <c r="B182" s="51" t="s">
        <v>30</v>
      </c>
      <c r="C182" s="51" t="str">
        <f aca="false">C177</f>
        <v>LOW</v>
      </c>
      <c r="D182" s="51" t="str">
        <f aca="false">D177</f>
        <v>Developer 3</v>
      </c>
      <c r="E182" s="34" t="s">
        <v>9</v>
      </c>
      <c r="F182" s="53" t="n">
        <f aca="false">IF(E182="Completed",100%,IF(OR(E182="In Progress",E182="On Hold"),50%,0%))</f>
        <v>0</v>
      </c>
      <c r="G182" s="49" t="n">
        <f aca="false">H181+1+2*INT((WEEKDAY(H181,1)-1+1)/5)</f>
        <v>46440</v>
      </c>
      <c r="H182" s="49" t="n">
        <f aca="false">G182+(Settings!$B$11)-1+2*INT((WEEKDAY(G182,1)-1+(Settings!$B$11)-1)/5)</f>
        <v>46441</v>
      </c>
      <c r="I182" s="49"/>
      <c r="J182" s="49"/>
      <c r="K182" s="51" t="n">
        <f aca="true">IF(E182="Cancelled","",IF(J182&lt;&gt;"",J182-H182,IF(AND(E182&lt;&gt;"Completed",TODAY()&gt;H182),TODAY()-H182,0)))</f>
        <v>0</v>
      </c>
      <c r="L182" s="51" t="str">
        <f aca="false">IF(E182="Cancelled","Gray",IF(E182="On Hold","Red",IF(E182="Completed",IF(K182&gt;5,"Red",IF(K182&gt;0,"Amber","Green")),IF(K182&gt;5,"Red",IF(K182&gt;0,"Amber","Green")))))</f>
        <v>Green</v>
      </c>
      <c r="M182" s="50" t="s">
        <v>93</v>
      </c>
      <c r="N182" s="50"/>
      <c r="O182" s="34" t="str">
        <f aca="false">$O$177</f>
        <v>RPA-026</v>
      </c>
      <c r="P182" s="34"/>
      <c r="Q182" s="51"/>
      <c r="R182" s="34" t="s">
        <v>87</v>
      </c>
      <c r="S182" s="50"/>
      <c r="T182" s="50"/>
      <c r="U182" s="51" t="str">
        <f aca="false">$U$177</f>
        <v>Medium</v>
      </c>
      <c r="V182" s="51" t="str">
        <f aca="false">IF($V$177="","",$V$177)</f>
        <v/>
      </c>
      <c r="W182" s="34" t="str">
        <f aca="false">IF($W$177="","",$W$177)</f>
        <v/>
      </c>
      <c r="X182" s="52" t="n">
        <v>46233.4534722222</v>
      </c>
      <c r="Y182" s="51" t="str">
        <f aca="false">IF($Y$177="","",$Y$177)</f>
        <v>Project Manager</v>
      </c>
    </row>
    <row r="183" customFormat="false" ht="15.75" hidden="false" customHeight="true" outlineLevel="0" collapsed="false">
      <c r="A183" s="51"/>
      <c r="B183" s="51" t="s">
        <v>31</v>
      </c>
      <c r="C183" s="51" t="str">
        <f aca="false">C177</f>
        <v>LOW</v>
      </c>
      <c r="D183" s="51" t="str">
        <f aca="false">D177</f>
        <v>Developer 3</v>
      </c>
      <c r="E183" s="34" t="s">
        <v>9</v>
      </c>
      <c r="F183" s="53" t="n">
        <f aca="false">IF(E183="Completed",100%,IF(OR(E183="In Progress",E183="On Hold"),50%,0%))</f>
        <v>0</v>
      </c>
      <c r="G183" s="49" t="n">
        <f aca="false">H182+1+2*INT((WEEKDAY(H182,1)-1+1)/5)</f>
        <v>46442</v>
      </c>
      <c r="H183" s="49" t="n">
        <f aca="false">G183+(Settings!$B$12)-1+2*INT((WEEKDAY(G183,1)-1+(Settings!$B$12)-1)/5)</f>
        <v>46442</v>
      </c>
      <c r="I183" s="49"/>
      <c r="J183" s="49"/>
      <c r="K183" s="51" t="n">
        <f aca="true">IF(E183="Cancelled","",IF(J183&lt;&gt;"",J183-H183,IF(AND(E183&lt;&gt;"Completed",TODAY()&gt;H183),TODAY()-H183,0)))</f>
        <v>0</v>
      </c>
      <c r="L183" s="51" t="str">
        <f aca="false">IF(E183="Cancelled","Gray",IF(E183="On Hold","Red",IF(E183="Completed",IF(K183&gt;5,"Red",IF(K183&gt;0,"Amber","Green")),IF(K183&gt;5,"Red",IF(K183&gt;0,"Amber","Green")))))</f>
        <v>Green</v>
      </c>
      <c r="M183" s="50" t="s">
        <v>92</v>
      </c>
      <c r="N183" s="50"/>
      <c r="O183" s="34" t="str">
        <f aca="false">$O$177</f>
        <v>RPA-026</v>
      </c>
      <c r="P183" s="34"/>
      <c r="Q183" s="51"/>
      <c r="R183" s="34" t="s">
        <v>87</v>
      </c>
      <c r="S183" s="50"/>
      <c r="T183" s="50"/>
      <c r="U183" s="51" t="str">
        <f aca="false">$U$177</f>
        <v>Medium</v>
      </c>
      <c r="V183" s="51" t="str">
        <f aca="false">IF($V$177="","",$V$177)</f>
        <v/>
      </c>
      <c r="W183" s="34" t="str">
        <f aca="false">IF($W$177="","",$W$177)</f>
        <v/>
      </c>
      <c r="X183" s="52" t="n">
        <v>46233.4534722222</v>
      </c>
      <c r="Y183" s="51" t="str">
        <f aca="false">IF($Y$177="","",$Y$177)</f>
        <v>Project Manager</v>
      </c>
    </row>
    <row r="184" customFormat="false" ht="15" hidden="false" customHeight="false" outlineLevel="0" collapsed="false">
      <c r="A184" s="41" t="s">
        <v>54</v>
      </c>
      <c r="B184" s="41" t="s">
        <v>85</v>
      </c>
      <c r="C184" s="41" t="str">
        <f aca="false">'Process Summary'!B30</f>
        <v>LOW</v>
      </c>
      <c r="D184" s="41" t="str">
        <f aca="false">'Process Summary'!C30</f>
        <v>Developer 4</v>
      </c>
      <c r="E184" s="41" t="str">
        <f aca="false">IF(F184=100%,"Completed",IF(E185="On Hold","On Hold",IF(E186="On Hold","On Hold",IF(E187="On Hold","On Hold",IF(E188="On Hold","On Hold",IF(E189="On Hold","On Hold",IF(E190="On Hold","On Hold",IF(F184&gt;0%,"In Progress","Not Started"))))))))</f>
        <v>Not Started</v>
      </c>
      <c r="F184" s="42" t="n">
        <f aca="false">(F185*3+F186*5+F187+F188*IF(C184="LOW",13,IF(C184="MEDIUM",23,33))+F189*2+F190)/(12+IF(C184="LOW",13,IF(C184="MEDIUM",23,33)))</f>
        <v>0</v>
      </c>
      <c r="G184" s="43" t="n">
        <f aca="false">'Process Summary'!G30</f>
        <v>46413</v>
      </c>
      <c r="H184" s="43" t="n">
        <f aca="false">H190</f>
        <v>46442</v>
      </c>
      <c r="I184" s="43" t="str">
        <f aca="false">IF(COUNT(I185:I190)=0,"",MIN(I185:I190))</f>
        <v/>
      </c>
      <c r="J184" s="43" t="str">
        <f aca="false">IF(COUNT(J185:J190)=0,"",MAX(J185:J190))</f>
        <v/>
      </c>
      <c r="K184" s="41" t="n">
        <f aca="true">IF(E184="Cancelled","",IF(J184&lt;&gt;"",J184-H184,IF(AND(E184&lt;&gt;"Completed",TODAY()&gt;H184),TODAY()-H184,0)))</f>
        <v>0</v>
      </c>
      <c r="L184" s="41" t="str">
        <f aca="false">IF(E184="Cancelled","Gray",IF(E184="On Hold","Red",IF(E184="Completed",IF(K184&gt;5,"Red",IF(K184&gt;0,"Amber","Green")),IF(K184&gt;5,"Red",IF(K184&gt;0,"Amber","Green")))))</f>
        <v>Green</v>
      </c>
      <c r="M184" s="44"/>
      <c r="N184" s="44"/>
      <c r="O184" s="41" t="s">
        <v>120</v>
      </c>
      <c r="P184" s="41"/>
      <c r="Q184" s="41"/>
      <c r="R184" s="41" t="s">
        <v>87</v>
      </c>
      <c r="S184" s="44"/>
      <c r="T184" s="44"/>
      <c r="U184" s="41" t="s">
        <v>88</v>
      </c>
      <c r="V184" s="41"/>
      <c r="W184" s="41"/>
      <c r="X184" s="45" t="n">
        <v>46233.4534722222</v>
      </c>
      <c r="Y184" s="41" t="s">
        <v>89</v>
      </c>
    </row>
    <row r="185" customFormat="false" ht="15.75" hidden="false" customHeight="true" outlineLevel="0" collapsed="false">
      <c r="A185" s="46"/>
      <c r="B185" s="46" t="s">
        <v>22</v>
      </c>
      <c r="C185" s="46" t="str">
        <f aca="false">C184</f>
        <v>LOW</v>
      </c>
      <c r="D185" s="46" t="str">
        <f aca="false">D184</f>
        <v>Developer 4</v>
      </c>
      <c r="E185" s="34" t="s">
        <v>9</v>
      </c>
      <c r="F185" s="47" t="n">
        <f aca="false">IF(E185="Completed",100%,IF(OR(E185="In Progress",E185="On Hold"),50%,0%))</f>
        <v>0</v>
      </c>
      <c r="G185" s="48" t="n">
        <f aca="false">G184</f>
        <v>46413</v>
      </c>
      <c r="H185" s="48" t="n">
        <f aca="false">G185+(Settings!$B$5)-1+2*INT((WEEKDAY(G185,1)-1+(Settings!$B$5)-1)/5)</f>
        <v>46415</v>
      </c>
      <c r="I185" s="49"/>
      <c r="J185" s="49"/>
      <c r="K185" s="46" t="n">
        <f aca="true">IF(E185="Cancelled","",IF(J185&lt;&gt;"",J185-H185,IF(AND(E185&lt;&gt;"Completed",TODAY()&gt;H185),TODAY()-H185,0)))</f>
        <v>0</v>
      </c>
      <c r="L185" s="46" t="str">
        <f aca="false">IF(E185="Cancelled","Gray",IF(E185="On Hold","Red",IF(E185="Completed",IF(K185&gt;5,"Red",IF(K185&gt;0,"Amber","Green")),IF(K185&gt;5,"Red",IF(K185&gt;0,"Amber","Green")))))</f>
        <v>Green</v>
      </c>
      <c r="M185" s="50" t="s">
        <v>90</v>
      </c>
      <c r="N185" s="50"/>
      <c r="O185" s="34" t="str">
        <f aca="false">$O$184</f>
        <v>RPA-027</v>
      </c>
      <c r="P185" s="34"/>
      <c r="Q185" s="51"/>
      <c r="R185" s="34" t="s">
        <v>87</v>
      </c>
      <c r="S185" s="50"/>
      <c r="T185" s="50"/>
      <c r="U185" s="51" t="str">
        <f aca="false">$U$184</f>
        <v>Medium</v>
      </c>
      <c r="V185" s="51" t="str">
        <f aca="false">IF($V$184="","",$V$184)</f>
        <v/>
      </c>
      <c r="W185" s="34" t="str">
        <f aca="false">IF($W$184="","",$W$184)</f>
        <v/>
      </c>
      <c r="X185" s="52" t="n">
        <v>46233.4534722222</v>
      </c>
      <c r="Y185" s="51" t="str">
        <f aca="false">IF($Y$184="","",$Y$184)</f>
        <v>Project Manager</v>
      </c>
    </row>
    <row r="186" customFormat="false" ht="15.75" hidden="false" customHeight="true" outlineLevel="0" collapsed="false">
      <c r="A186" s="46"/>
      <c r="B186" s="46" t="s">
        <v>24</v>
      </c>
      <c r="C186" s="46" t="str">
        <f aca="false">C184</f>
        <v>LOW</v>
      </c>
      <c r="D186" s="46" t="str">
        <f aca="false">D184</f>
        <v>Developer 4</v>
      </c>
      <c r="E186" s="34" t="s">
        <v>9</v>
      </c>
      <c r="F186" s="47" t="n">
        <f aca="false">IF(E186="Completed",100%,IF(OR(E186="In Progress",E186="On Hold"),50%,0%))</f>
        <v>0</v>
      </c>
      <c r="G186" s="48" t="n">
        <f aca="false">H185+1+2*INT((WEEKDAY(H185,1)-1+1)/5)</f>
        <v>46418</v>
      </c>
      <c r="H186" s="48" t="n">
        <f aca="false">G186+(Settings!$B$6)-1+2*INT((WEEKDAY(G186,1)-1+(Settings!$B$6)-1)/5)</f>
        <v>46422</v>
      </c>
      <c r="I186" s="49"/>
      <c r="J186" s="49"/>
      <c r="K186" s="46" t="n">
        <f aca="true">IF(E186="Cancelled","",IF(J186&lt;&gt;"",J186-H186,IF(AND(E186&lt;&gt;"Completed",TODAY()&gt;H186),TODAY()-H186,0)))</f>
        <v>0</v>
      </c>
      <c r="L186" s="46" t="str">
        <f aca="false">IF(E186="Cancelled","Gray",IF(E186="On Hold","Red",IF(E186="Completed",IF(K186&gt;5,"Red",IF(K186&gt;0,"Amber","Green")),IF(K186&gt;5,"Red",IF(K186&gt;0,"Amber","Green")))))</f>
        <v>Green</v>
      </c>
      <c r="M186" s="50" t="s">
        <v>90</v>
      </c>
      <c r="N186" s="50"/>
      <c r="O186" s="34" t="str">
        <f aca="false">$O$184</f>
        <v>RPA-027</v>
      </c>
      <c r="P186" s="34"/>
      <c r="Q186" s="51"/>
      <c r="R186" s="34" t="s">
        <v>87</v>
      </c>
      <c r="S186" s="50"/>
      <c r="T186" s="50"/>
      <c r="U186" s="51" t="str">
        <f aca="false">$U$184</f>
        <v>Medium</v>
      </c>
      <c r="V186" s="51" t="str">
        <f aca="false">IF($V$184="","",$V$184)</f>
        <v/>
      </c>
      <c r="W186" s="34" t="str">
        <f aca="false">IF($W$184="","",$W$184)</f>
        <v/>
      </c>
      <c r="X186" s="52" t="n">
        <v>46233.4534722222</v>
      </c>
      <c r="Y186" s="51" t="str">
        <f aca="false">IF($Y$184="","",$Y$184)</f>
        <v>Project Manager</v>
      </c>
    </row>
    <row r="187" customFormat="false" ht="15.75" hidden="false" customHeight="true" outlineLevel="0" collapsed="false">
      <c r="A187" s="46"/>
      <c r="B187" s="46" t="s">
        <v>26</v>
      </c>
      <c r="C187" s="46" t="str">
        <f aca="false">C184</f>
        <v>LOW</v>
      </c>
      <c r="D187" s="46" t="str">
        <f aca="false">D184</f>
        <v>Developer 4</v>
      </c>
      <c r="E187" s="34" t="s">
        <v>9</v>
      </c>
      <c r="F187" s="47" t="n">
        <f aca="false">IF(E187="Completed",100%,IF(OR(E187="In Progress",E187="On Hold"),50%,0%))</f>
        <v>0</v>
      </c>
      <c r="G187" s="48" t="n">
        <f aca="false">H186+1+2*INT((WEEKDAY(H186,1)-1+1)/5)</f>
        <v>46425</v>
      </c>
      <c r="H187" s="48" t="n">
        <f aca="false">G187+(Settings!$B$7)-1+2*INT((WEEKDAY(G187,1)-1+(Settings!$B$7)-1)/5)</f>
        <v>46425</v>
      </c>
      <c r="I187" s="49"/>
      <c r="J187" s="49"/>
      <c r="K187" s="46" t="n">
        <f aca="true">IF(E187="Cancelled","",IF(J187&lt;&gt;"",J187-H187,IF(AND(E187&lt;&gt;"Completed",TODAY()&gt;H187),TODAY()-H187,0)))</f>
        <v>0</v>
      </c>
      <c r="L187" s="46" t="str">
        <f aca="false">IF(E187="Cancelled","Gray",IF(E187="On Hold","Red",IF(E187="Completed",IF(K187&gt;5,"Red",IF(K187&gt;0,"Amber","Green")),IF(K187&gt;5,"Red",IF(K187&gt;0,"Amber","Green")))))</f>
        <v>Green</v>
      </c>
      <c r="M187" s="50" t="s">
        <v>91</v>
      </c>
      <c r="N187" s="50"/>
      <c r="O187" s="34" t="str">
        <f aca="false">$O$184</f>
        <v>RPA-027</v>
      </c>
      <c r="P187" s="34"/>
      <c r="Q187" s="51"/>
      <c r="R187" s="34" t="s">
        <v>87</v>
      </c>
      <c r="S187" s="50"/>
      <c r="T187" s="50"/>
      <c r="U187" s="51" t="str">
        <f aca="false">$U$184</f>
        <v>Medium</v>
      </c>
      <c r="V187" s="51" t="str">
        <f aca="false">IF($V$184="","",$V$184)</f>
        <v/>
      </c>
      <c r="W187" s="34" t="str">
        <f aca="false">IF($W$184="","",$W$184)</f>
        <v/>
      </c>
      <c r="X187" s="52" t="n">
        <v>46233.4534722222</v>
      </c>
      <c r="Y187" s="51" t="str">
        <f aca="false">IF($Y$184="","",$Y$184)</f>
        <v>Project Manager</v>
      </c>
    </row>
    <row r="188" customFormat="false" ht="15.75" hidden="false" customHeight="true" outlineLevel="0" collapsed="false">
      <c r="A188" s="46"/>
      <c r="B188" s="46" t="s">
        <v>28</v>
      </c>
      <c r="C188" s="46" t="str">
        <f aca="false">C184</f>
        <v>LOW</v>
      </c>
      <c r="D188" s="46" t="str">
        <f aca="false">D184</f>
        <v>Developer 4</v>
      </c>
      <c r="E188" s="34" t="s">
        <v>9</v>
      </c>
      <c r="F188" s="47" t="n">
        <f aca="false">IF(E188="Completed",100%,IF(OR(E188="In Progress",E188="On Hold"),50%,0%))</f>
        <v>0</v>
      </c>
      <c r="G188" s="48" t="n">
        <f aca="false">H187+1+2*INT((WEEKDAY(H187,1)-1+1)/5)</f>
        <v>46426</v>
      </c>
      <c r="H188" s="48" t="n">
        <f aca="false">G188+(IF(C188="LOW",Settings!$B$8,IF(C188="MEDIUM",Settings!$B$9,Settings!$B$10)))-1+2*INT((WEEKDAY(G188,1)-1+(IF(C188="LOW",Settings!$B$8,IF(C188="MEDIUM",Settings!$B$9,Settings!$B$10)))-1)/5)</f>
        <v>46439</v>
      </c>
      <c r="I188" s="49"/>
      <c r="J188" s="49"/>
      <c r="K188" s="46" t="n">
        <f aca="true">IF(E188="Cancelled","",IF(J188&lt;&gt;"",J188-H188,IF(AND(E188&lt;&gt;"Completed",TODAY()&gt;H188),TODAY()-H188,0)))</f>
        <v>0</v>
      </c>
      <c r="L188" s="46" t="str">
        <f aca="false">IF(E188="Cancelled","Gray",IF(E188="On Hold","Red",IF(E188="Completed",IF(K188&gt;5,"Red",IF(K188&gt;0,"Amber","Green")),IF(K188&gt;5,"Red",IF(K188&gt;0,"Amber","Green")))))</f>
        <v>Green</v>
      </c>
      <c r="M188" s="50" t="s">
        <v>92</v>
      </c>
      <c r="N188" s="50"/>
      <c r="O188" s="34" t="str">
        <f aca="false">$O$184</f>
        <v>RPA-027</v>
      </c>
      <c r="P188" s="34"/>
      <c r="Q188" s="51"/>
      <c r="R188" s="34" t="s">
        <v>87</v>
      </c>
      <c r="S188" s="50"/>
      <c r="T188" s="50"/>
      <c r="U188" s="51" t="str">
        <f aca="false">$U$184</f>
        <v>Medium</v>
      </c>
      <c r="V188" s="51" t="str">
        <f aca="false">IF($V$184="","",$V$184)</f>
        <v/>
      </c>
      <c r="W188" s="34" t="str">
        <f aca="false">IF($W$184="","",$W$184)</f>
        <v/>
      </c>
      <c r="X188" s="52" t="n">
        <v>46233.4534722222</v>
      </c>
      <c r="Y188" s="51" t="str">
        <f aca="false">IF($Y$184="","",$Y$184)</f>
        <v>Project Manager</v>
      </c>
    </row>
    <row r="189" customFormat="false" ht="15.75" hidden="false" customHeight="true" outlineLevel="0" collapsed="false">
      <c r="A189" s="46"/>
      <c r="B189" s="46" t="s">
        <v>30</v>
      </c>
      <c r="C189" s="46" t="str">
        <f aca="false">C184</f>
        <v>LOW</v>
      </c>
      <c r="D189" s="46" t="str">
        <f aca="false">D184</f>
        <v>Developer 4</v>
      </c>
      <c r="E189" s="34" t="s">
        <v>9</v>
      </c>
      <c r="F189" s="47" t="n">
        <f aca="false">IF(E189="Completed",100%,IF(OR(E189="In Progress",E189="On Hold"),50%,0%))</f>
        <v>0</v>
      </c>
      <c r="G189" s="48" t="n">
        <f aca="false">H188+1+2*INT((WEEKDAY(H188,1)-1+1)/5)</f>
        <v>46440</v>
      </c>
      <c r="H189" s="48" t="n">
        <f aca="false">G189+(Settings!$B$11)-1+2*INT((WEEKDAY(G189,1)-1+(Settings!$B$11)-1)/5)</f>
        <v>46441</v>
      </c>
      <c r="I189" s="49"/>
      <c r="J189" s="49"/>
      <c r="K189" s="46" t="n">
        <f aca="true">IF(E189="Cancelled","",IF(J189&lt;&gt;"",J189-H189,IF(AND(E189&lt;&gt;"Completed",TODAY()&gt;H189),TODAY()-H189,0)))</f>
        <v>0</v>
      </c>
      <c r="L189" s="46" t="str">
        <f aca="false">IF(E189="Cancelled","Gray",IF(E189="On Hold","Red",IF(E189="Completed",IF(K189&gt;5,"Red",IF(K189&gt;0,"Amber","Green")),IF(K189&gt;5,"Red",IF(K189&gt;0,"Amber","Green")))))</f>
        <v>Green</v>
      </c>
      <c r="M189" s="50" t="s">
        <v>93</v>
      </c>
      <c r="N189" s="50"/>
      <c r="O189" s="34" t="str">
        <f aca="false">$O$184</f>
        <v>RPA-027</v>
      </c>
      <c r="P189" s="34"/>
      <c r="Q189" s="51"/>
      <c r="R189" s="34" t="s">
        <v>87</v>
      </c>
      <c r="S189" s="50"/>
      <c r="T189" s="50"/>
      <c r="U189" s="51" t="str">
        <f aca="false">$U$184</f>
        <v>Medium</v>
      </c>
      <c r="V189" s="51" t="str">
        <f aca="false">IF($V$184="","",$V$184)</f>
        <v/>
      </c>
      <c r="W189" s="34" t="str">
        <f aca="false">IF($W$184="","",$W$184)</f>
        <v/>
      </c>
      <c r="X189" s="52" t="n">
        <v>46233.4534722222</v>
      </c>
      <c r="Y189" s="51" t="str">
        <f aca="false">IF($Y$184="","",$Y$184)</f>
        <v>Project Manager</v>
      </c>
    </row>
    <row r="190" customFormat="false" ht="15.75" hidden="false" customHeight="true" outlineLevel="0" collapsed="false">
      <c r="A190" s="46"/>
      <c r="B190" s="46" t="s">
        <v>31</v>
      </c>
      <c r="C190" s="46" t="str">
        <f aca="false">C184</f>
        <v>LOW</v>
      </c>
      <c r="D190" s="46" t="str">
        <f aca="false">D184</f>
        <v>Developer 4</v>
      </c>
      <c r="E190" s="34" t="s">
        <v>9</v>
      </c>
      <c r="F190" s="47" t="n">
        <f aca="false">IF(E190="Completed",100%,IF(OR(E190="In Progress",E190="On Hold"),50%,0%))</f>
        <v>0</v>
      </c>
      <c r="G190" s="48" t="n">
        <f aca="false">H189+1+2*INT((WEEKDAY(H189,1)-1+1)/5)</f>
        <v>46442</v>
      </c>
      <c r="H190" s="48" t="n">
        <f aca="false">G190+(Settings!$B$12)-1+2*INT((WEEKDAY(G190,1)-1+(Settings!$B$12)-1)/5)</f>
        <v>46442</v>
      </c>
      <c r="I190" s="49"/>
      <c r="J190" s="49"/>
      <c r="K190" s="46" t="n">
        <f aca="true">IF(E190="Cancelled","",IF(J190&lt;&gt;"",J190-H190,IF(AND(E190&lt;&gt;"Completed",TODAY()&gt;H190),TODAY()-H190,0)))</f>
        <v>0</v>
      </c>
      <c r="L190" s="46" t="str">
        <f aca="false">IF(E190="Cancelled","Gray",IF(E190="On Hold","Red",IF(E190="Completed",IF(K190&gt;5,"Red",IF(K190&gt;0,"Amber","Green")),IF(K190&gt;5,"Red",IF(K190&gt;0,"Amber","Green")))))</f>
        <v>Green</v>
      </c>
      <c r="M190" s="50" t="s">
        <v>92</v>
      </c>
      <c r="N190" s="50"/>
      <c r="O190" s="34" t="str">
        <f aca="false">$O$184</f>
        <v>RPA-027</v>
      </c>
      <c r="P190" s="34"/>
      <c r="Q190" s="51"/>
      <c r="R190" s="34" t="s">
        <v>87</v>
      </c>
      <c r="S190" s="50"/>
      <c r="T190" s="50"/>
      <c r="U190" s="51" t="str">
        <f aca="false">$U$184</f>
        <v>Medium</v>
      </c>
      <c r="V190" s="51" t="str">
        <f aca="false">IF($V$184="","",$V$184)</f>
        <v/>
      </c>
      <c r="W190" s="34" t="str">
        <f aca="false">IF($W$184="","",$W$184)</f>
        <v/>
      </c>
      <c r="X190" s="52" t="n">
        <v>46233.4534722222</v>
      </c>
      <c r="Y190" s="51" t="str">
        <f aca="false">IF($Y$184="","",$Y$184)</f>
        <v>Project Manager</v>
      </c>
    </row>
    <row r="191" customFormat="false" ht="15" hidden="false" customHeight="false" outlineLevel="0" collapsed="false">
      <c r="A191" s="41" t="s">
        <v>54</v>
      </c>
      <c r="B191" s="41" t="s">
        <v>85</v>
      </c>
      <c r="C191" s="41" t="str">
        <f aca="false">'Process Summary'!B31</f>
        <v>LOW</v>
      </c>
      <c r="D191" s="41" t="str">
        <f aca="false">'Process Summary'!C31</f>
        <v>Developer 1</v>
      </c>
      <c r="E191" s="41" t="str">
        <f aca="false">IF(F191=100%,"Completed",IF(E192="On Hold","On Hold",IF(E193="On Hold","On Hold",IF(E194="On Hold","On Hold",IF(E195="On Hold","On Hold",IF(E196="On Hold","On Hold",IF(E197="On Hold","On Hold",IF(F191&gt;0%,"In Progress","Not Started"))))))))</f>
        <v>Not Started</v>
      </c>
      <c r="F191" s="42" t="n">
        <f aca="false">(F192*3+F193*5+F194+F195*IF(C191="LOW",13,IF(C191="MEDIUM",23,33))+F196*2+F197)/(12+IF(C191="LOW",13,IF(C191="MEDIUM",23,33)))</f>
        <v>0</v>
      </c>
      <c r="G191" s="43" t="n">
        <f aca="false">'Process Summary'!G31</f>
        <v>46413</v>
      </c>
      <c r="H191" s="43" t="n">
        <f aca="false">H197</f>
        <v>46442</v>
      </c>
      <c r="I191" s="43" t="str">
        <f aca="false">IF(COUNT(I192:I197)=0,"",MIN(I192:I197))</f>
        <v/>
      </c>
      <c r="J191" s="43" t="str">
        <f aca="false">IF(COUNT(J192:J197)=0,"",MAX(J192:J197))</f>
        <v/>
      </c>
      <c r="K191" s="41" t="n">
        <f aca="true">IF(E191="Cancelled","",IF(J191&lt;&gt;"",J191-H191,IF(AND(E191&lt;&gt;"Completed",TODAY()&gt;H191),TODAY()-H191,0)))</f>
        <v>0</v>
      </c>
      <c r="L191" s="41" t="str">
        <f aca="false">IF(E191="Cancelled","Gray",IF(E191="On Hold","Red",IF(E191="Completed",IF(K191&gt;5,"Red",IF(K191&gt;0,"Amber","Green")),IF(K191&gt;5,"Red",IF(K191&gt;0,"Amber","Green")))))</f>
        <v>Green</v>
      </c>
      <c r="M191" s="44"/>
      <c r="N191" s="44"/>
      <c r="O191" s="41" t="s">
        <v>121</v>
      </c>
      <c r="P191" s="41"/>
      <c r="Q191" s="41"/>
      <c r="R191" s="41" t="s">
        <v>87</v>
      </c>
      <c r="S191" s="44"/>
      <c r="T191" s="44"/>
      <c r="U191" s="41" t="s">
        <v>88</v>
      </c>
      <c r="V191" s="41"/>
      <c r="W191" s="41"/>
      <c r="X191" s="45" t="n">
        <v>46233.4534722222</v>
      </c>
      <c r="Y191" s="41" t="s">
        <v>89</v>
      </c>
    </row>
    <row r="192" customFormat="false" ht="15.75" hidden="false" customHeight="true" outlineLevel="0" collapsed="false">
      <c r="A192" s="51"/>
      <c r="B192" s="51" t="s">
        <v>22</v>
      </c>
      <c r="C192" s="51" t="str">
        <f aca="false">C191</f>
        <v>LOW</v>
      </c>
      <c r="D192" s="51" t="str">
        <f aca="false">D191</f>
        <v>Developer 1</v>
      </c>
      <c r="E192" s="34" t="s">
        <v>9</v>
      </c>
      <c r="F192" s="53" t="n">
        <f aca="false">IF(E192="Completed",100%,IF(OR(E192="In Progress",E192="On Hold"),50%,0%))</f>
        <v>0</v>
      </c>
      <c r="G192" s="49" t="n">
        <f aca="false">G191</f>
        <v>46413</v>
      </c>
      <c r="H192" s="49" t="n">
        <f aca="false">G192+(Settings!$B$5)-1+2*INT((WEEKDAY(G192,1)-1+(Settings!$B$5)-1)/5)</f>
        <v>46415</v>
      </c>
      <c r="I192" s="49"/>
      <c r="J192" s="49"/>
      <c r="K192" s="51" t="n">
        <f aca="true">IF(E192="Cancelled","",IF(J192&lt;&gt;"",J192-H192,IF(AND(E192&lt;&gt;"Completed",TODAY()&gt;H192),TODAY()-H192,0)))</f>
        <v>0</v>
      </c>
      <c r="L192" s="51" t="str">
        <f aca="false">IF(E192="Cancelled","Gray",IF(E192="On Hold","Red",IF(E192="Completed",IF(K192&gt;5,"Red",IF(K192&gt;0,"Amber","Green")),IF(K192&gt;5,"Red",IF(K192&gt;0,"Amber","Green")))))</f>
        <v>Green</v>
      </c>
      <c r="M192" s="50" t="s">
        <v>90</v>
      </c>
      <c r="N192" s="50"/>
      <c r="O192" s="34" t="str">
        <f aca="false">$O$191</f>
        <v>RPA-028</v>
      </c>
      <c r="P192" s="34"/>
      <c r="Q192" s="51"/>
      <c r="R192" s="34" t="s">
        <v>87</v>
      </c>
      <c r="S192" s="50"/>
      <c r="T192" s="50"/>
      <c r="U192" s="51" t="str">
        <f aca="false">$U$191</f>
        <v>Medium</v>
      </c>
      <c r="V192" s="51" t="str">
        <f aca="false">IF($V$191="","",$V$191)</f>
        <v/>
      </c>
      <c r="W192" s="34" t="str">
        <f aca="false">IF($W$191="","",$W$191)</f>
        <v/>
      </c>
      <c r="X192" s="52" t="n">
        <v>46233.4534722222</v>
      </c>
      <c r="Y192" s="51" t="str">
        <f aca="false">IF($Y$191="","",$Y$191)</f>
        <v>Project Manager</v>
      </c>
    </row>
    <row r="193" customFormat="false" ht="15.75" hidden="false" customHeight="true" outlineLevel="0" collapsed="false">
      <c r="A193" s="51"/>
      <c r="B193" s="51" t="s">
        <v>24</v>
      </c>
      <c r="C193" s="51" t="str">
        <f aca="false">C191</f>
        <v>LOW</v>
      </c>
      <c r="D193" s="51" t="str">
        <f aca="false">D191</f>
        <v>Developer 1</v>
      </c>
      <c r="E193" s="34" t="s">
        <v>9</v>
      </c>
      <c r="F193" s="53" t="n">
        <f aca="false">IF(E193="Completed",100%,IF(OR(E193="In Progress",E193="On Hold"),50%,0%))</f>
        <v>0</v>
      </c>
      <c r="G193" s="49" t="n">
        <f aca="false">H192+1+2*INT((WEEKDAY(H192,1)-1+1)/5)</f>
        <v>46418</v>
      </c>
      <c r="H193" s="49" t="n">
        <f aca="false">G193+(Settings!$B$6)-1+2*INT((WEEKDAY(G193,1)-1+(Settings!$B$6)-1)/5)</f>
        <v>46422</v>
      </c>
      <c r="I193" s="49"/>
      <c r="J193" s="49"/>
      <c r="K193" s="51" t="n">
        <f aca="true">IF(E193="Cancelled","",IF(J193&lt;&gt;"",J193-H193,IF(AND(E193&lt;&gt;"Completed",TODAY()&gt;H193),TODAY()-H193,0)))</f>
        <v>0</v>
      </c>
      <c r="L193" s="51" t="str">
        <f aca="false">IF(E193="Cancelled","Gray",IF(E193="On Hold","Red",IF(E193="Completed",IF(K193&gt;5,"Red",IF(K193&gt;0,"Amber","Green")),IF(K193&gt;5,"Red",IF(K193&gt;0,"Amber","Green")))))</f>
        <v>Green</v>
      </c>
      <c r="M193" s="50" t="s">
        <v>90</v>
      </c>
      <c r="N193" s="50"/>
      <c r="O193" s="34" t="str">
        <f aca="false">$O$191</f>
        <v>RPA-028</v>
      </c>
      <c r="P193" s="34"/>
      <c r="Q193" s="51"/>
      <c r="R193" s="34" t="s">
        <v>87</v>
      </c>
      <c r="S193" s="50"/>
      <c r="T193" s="50"/>
      <c r="U193" s="51" t="str">
        <f aca="false">$U$191</f>
        <v>Medium</v>
      </c>
      <c r="V193" s="51" t="str">
        <f aca="false">IF($V$191="","",$V$191)</f>
        <v/>
      </c>
      <c r="W193" s="34" t="str">
        <f aca="false">IF($W$191="","",$W$191)</f>
        <v/>
      </c>
      <c r="X193" s="52" t="n">
        <v>46233.4534722222</v>
      </c>
      <c r="Y193" s="51" t="str">
        <f aca="false">IF($Y$191="","",$Y$191)</f>
        <v>Project Manager</v>
      </c>
    </row>
    <row r="194" customFormat="false" ht="15.75" hidden="false" customHeight="true" outlineLevel="0" collapsed="false">
      <c r="A194" s="51"/>
      <c r="B194" s="51" t="s">
        <v>26</v>
      </c>
      <c r="C194" s="51" t="str">
        <f aca="false">C191</f>
        <v>LOW</v>
      </c>
      <c r="D194" s="51" t="str">
        <f aca="false">D191</f>
        <v>Developer 1</v>
      </c>
      <c r="E194" s="34" t="s">
        <v>9</v>
      </c>
      <c r="F194" s="53" t="n">
        <f aca="false">IF(E194="Completed",100%,IF(OR(E194="In Progress",E194="On Hold"),50%,0%))</f>
        <v>0</v>
      </c>
      <c r="G194" s="49" t="n">
        <f aca="false">H193+1+2*INT((WEEKDAY(H193,1)-1+1)/5)</f>
        <v>46425</v>
      </c>
      <c r="H194" s="49" t="n">
        <f aca="false">G194+(Settings!$B$7)-1+2*INT((WEEKDAY(G194,1)-1+(Settings!$B$7)-1)/5)</f>
        <v>46425</v>
      </c>
      <c r="I194" s="49"/>
      <c r="J194" s="49"/>
      <c r="K194" s="51" t="n">
        <f aca="true">IF(E194="Cancelled","",IF(J194&lt;&gt;"",J194-H194,IF(AND(E194&lt;&gt;"Completed",TODAY()&gt;H194),TODAY()-H194,0)))</f>
        <v>0</v>
      </c>
      <c r="L194" s="51" t="str">
        <f aca="false">IF(E194="Cancelled","Gray",IF(E194="On Hold","Red",IF(E194="Completed",IF(K194&gt;5,"Red",IF(K194&gt;0,"Amber","Green")),IF(K194&gt;5,"Red",IF(K194&gt;0,"Amber","Green")))))</f>
        <v>Green</v>
      </c>
      <c r="M194" s="50" t="s">
        <v>91</v>
      </c>
      <c r="N194" s="50"/>
      <c r="O194" s="34" t="str">
        <f aca="false">$O$191</f>
        <v>RPA-028</v>
      </c>
      <c r="P194" s="34"/>
      <c r="Q194" s="51"/>
      <c r="R194" s="34" t="s">
        <v>87</v>
      </c>
      <c r="S194" s="50"/>
      <c r="T194" s="50"/>
      <c r="U194" s="51" t="str">
        <f aca="false">$U$191</f>
        <v>Medium</v>
      </c>
      <c r="V194" s="51" t="str">
        <f aca="false">IF($V$191="","",$V$191)</f>
        <v/>
      </c>
      <c r="W194" s="34" t="str">
        <f aca="false">IF($W$191="","",$W$191)</f>
        <v/>
      </c>
      <c r="X194" s="52" t="n">
        <v>46233.4534722222</v>
      </c>
      <c r="Y194" s="51" t="str">
        <f aca="false">IF($Y$191="","",$Y$191)</f>
        <v>Project Manager</v>
      </c>
    </row>
    <row r="195" customFormat="false" ht="15.75" hidden="false" customHeight="true" outlineLevel="0" collapsed="false">
      <c r="A195" s="51"/>
      <c r="B195" s="51" t="s">
        <v>28</v>
      </c>
      <c r="C195" s="51" t="str">
        <f aca="false">C191</f>
        <v>LOW</v>
      </c>
      <c r="D195" s="51" t="str">
        <f aca="false">D191</f>
        <v>Developer 1</v>
      </c>
      <c r="E195" s="34" t="s">
        <v>9</v>
      </c>
      <c r="F195" s="53" t="n">
        <f aca="false">IF(E195="Completed",100%,IF(OR(E195="In Progress",E195="On Hold"),50%,0%))</f>
        <v>0</v>
      </c>
      <c r="G195" s="49" t="n">
        <f aca="false">H194+1+2*INT((WEEKDAY(H194,1)-1+1)/5)</f>
        <v>46426</v>
      </c>
      <c r="H195" s="49" t="n">
        <f aca="false">G195+(IF(C195="LOW",Settings!$B$8,IF(C195="MEDIUM",Settings!$B$9,Settings!$B$10)))-1+2*INT((WEEKDAY(G195,1)-1+(IF(C195="LOW",Settings!$B$8,IF(C195="MEDIUM",Settings!$B$9,Settings!$B$10)))-1)/5)</f>
        <v>46439</v>
      </c>
      <c r="I195" s="49"/>
      <c r="J195" s="49"/>
      <c r="K195" s="51" t="n">
        <f aca="true">IF(E195="Cancelled","",IF(J195&lt;&gt;"",J195-H195,IF(AND(E195&lt;&gt;"Completed",TODAY()&gt;H195),TODAY()-H195,0)))</f>
        <v>0</v>
      </c>
      <c r="L195" s="51" t="str">
        <f aca="false">IF(E195="Cancelled","Gray",IF(E195="On Hold","Red",IF(E195="Completed",IF(K195&gt;5,"Red",IF(K195&gt;0,"Amber","Green")),IF(K195&gt;5,"Red",IF(K195&gt;0,"Amber","Green")))))</f>
        <v>Green</v>
      </c>
      <c r="M195" s="50" t="s">
        <v>92</v>
      </c>
      <c r="N195" s="50"/>
      <c r="O195" s="34" t="str">
        <f aca="false">$O$191</f>
        <v>RPA-028</v>
      </c>
      <c r="P195" s="34"/>
      <c r="Q195" s="51"/>
      <c r="R195" s="34" t="s">
        <v>87</v>
      </c>
      <c r="S195" s="50"/>
      <c r="T195" s="50"/>
      <c r="U195" s="51" t="str">
        <f aca="false">$U$191</f>
        <v>Medium</v>
      </c>
      <c r="V195" s="51" t="str">
        <f aca="false">IF($V$191="","",$V$191)</f>
        <v/>
      </c>
      <c r="W195" s="34" t="str">
        <f aca="false">IF($W$191="","",$W$191)</f>
        <v/>
      </c>
      <c r="X195" s="52" t="n">
        <v>46233.4534722222</v>
      </c>
      <c r="Y195" s="51" t="str">
        <f aca="false">IF($Y$191="","",$Y$191)</f>
        <v>Project Manager</v>
      </c>
    </row>
    <row r="196" customFormat="false" ht="15.75" hidden="false" customHeight="true" outlineLevel="0" collapsed="false">
      <c r="A196" s="51"/>
      <c r="B196" s="51" t="s">
        <v>30</v>
      </c>
      <c r="C196" s="51" t="str">
        <f aca="false">C191</f>
        <v>LOW</v>
      </c>
      <c r="D196" s="51" t="str">
        <f aca="false">D191</f>
        <v>Developer 1</v>
      </c>
      <c r="E196" s="34" t="s">
        <v>9</v>
      </c>
      <c r="F196" s="53" t="n">
        <f aca="false">IF(E196="Completed",100%,IF(OR(E196="In Progress",E196="On Hold"),50%,0%))</f>
        <v>0</v>
      </c>
      <c r="G196" s="49" t="n">
        <f aca="false">H195+1+2*INT((WEEKDAY(H195,1)-1+1)/5)</f>
        <v>46440</v>
      </c>
      <c r="H196" s="49" t="n">
        <f aca="false">G196+(Settings!$B$11)-1+2*INT((WEEKDAY(G196,1)-1+(Settings!$B$11)-1)/5)</f>
        <v>46441</v>
      </c>
      <c r="I196" s="49"/>
      <c r="J196" s="49"/>
      <c r="K196" s="51" t="n">
        <f aca="true">IF(E196="Cancelled","",IF(J196&lt;&gt;"",J196-H196,IF(AND(E196&lt;&gt;"Completed",TODAY()&gt;H196),TODAY()-H196,0)))</f>
        <v>0</v>
      </c>
      <c r="L196" s="51" t="str">
        <f aca="false">IF(E196="Cancelled","Gray",IF(E196="On Hold","Red",IF(E196="Completed",IF(K196&gt;5,"Red",IF(K196&gt;0,"Amber","Green")),IF(K196&gt;5,"Red",IF(K196&gt;0,"Amber","Green")))))</f>
        <v>Green</v>
      </c>
      <c r="M196" s="50" t="s">
        <v>93</v>
      </c>
      <c r="N196" s="50"/>
      <c r="O196" s="34" t="str">
        <f aca="false">$O$191</f>
        <v>RPA-028</v>
      </c>
      <c r="P196" s="34"/>
      <c r="Q196" s="51"/>
      <c r="R196" s="34" t="s">
        <v>87</v>
      </c>
      <c r="S196" s="50"/>
      <c r="T196" s="50"/>
      <c r="U196" s="51" t="str">
        <f aca="false">$U$191</f>
        <v>Medium</v>
      </c>
      <c r="V196" s="51" t="str">
        <f aca="false">IF($V$191="","",$V$191)</f>
        <v/>
      </c>
      <c r="W196" s="34" t="str">
        <f aca="false">IF($W$191="","",$W$191)</f>
        <v/>
      </c>
      <c r="X196" s="52" t="n">
        <v>46233.4534722222</v>
      </c>
      <c r="Y196" s="51" t="str">
        <f aca="false">IF($Y$191="","",$Y$191)</f>
        <v>Project Manager</v>
      </c>
    </row>
    <row r="197" customFormat="false" ht="15.75" hidden="false" customHeight="true" outlineLevel="0" collapsed="false">
      <c r="A197" s="51"/>
      <c r="B197" s="51" t="s">
        <v>31</v>
      </c>
      <c r="C197" s="51" t="str">
        <f aca="false">C191</f>
        <v>LOW</v>
      </c>
      <c r="D197" s="51" t="str">
        <f aca="false">D191</f>
        <v>Developer 1</v>
      </c>
      <c r="E197" s="34" t="s">
        <v>9</v>
      </c>
      <c r="F197" s="53" t="n">
        <f aca="false">IF(E197="Completed",100%,IF(OR(E197="In Progress",E197="On Hold"),50%,0%))</f>
        <v>0</v>
      </c>
      <c r="G197" s="49" t="n">
        <f aca="false">H196+1+2*INT((WEEKDAY(H196,1)-1+1)/5)</f>
        <v>46442</v>
      </c>
      <c r="H197" s="49" t="n">
        <f aca="false">G197+(Settings!$B$12)-1+2*INT((WEEKDAY(G197,1)-1+(Settings!$B$12)-1)/5)</f>
        <v>46442</v>
      </c>
      <c r="I197" s="49"/>
      <c r="J197" s="49"/>
      <c r="K197" s="51" t="n">
        <f aca="true">IF(E197="Cancelled","",IF(J197&lt;&gt;"",J197-H197,IF(AND(E197&lt;&gt;"Completed",TODAY()&gt;H197),TODAY()-H197,0)))</f>
        <v>0</v>
      </c>
      <c r="L197" s="51" t="str">
        <f aca="false">IF(E197="Cancelled","Gray",IF(E197="On Hold","Red",IF(E197="Completed",IF(K197&gt;5,"Red",IF(K197&gt;0,"Amber","Green")),IF(K197&gt;5,"Red",IF(K197&gt;0,"Amber","Green")))))</f>
        <v>Green</v>
      </c>
      <c r="M197" s="50" t="s">
        <v>92</v>
      </c>
      <c r="N197" s="50"/>
      <c r="O197" s="34" t="str">
        <f aca="false">$O$191</f>
        <v>RPA-028</v>
      </c>
      <c r="P197" s="34"/>
      <c r="Q197" s="51"/>
      <c r="R197" s="34" t="s">
        <v>87</v>
      </c>
      <c r="S197" s="50"/>
      <c r="T197" s="50"/>
      <c r="U197" s="51" t="str">
        <f aca="false">$U$191</f>
        <v>Medium</v>
      </c>
      <c r="V197" s="51" t="str">
        <f aca="false">IF($V$191="","",$V$191)</f>
        <v/>
      </c>
      <c r="W197" s="34" t="str">
        <f aca="false">IF($W$191="","",$W$191)</f>
        <v/>
      </c>
      <c r="X197" s="52" t="n">
        <v>46233.4534722222</v>
      </c>
      <c r="Y197" s="51" t="str">
        <f aca="false">IF($Y$191="","",$Y$191)</f>
        <v>Project Manager</v>
      </c>
    </row>
    <row r="198" customFormat="false" ht="15" hidden="false" customHeight="false" outlineLevel="0" collapsed="false">
      <c r="A198" s="41" t="s">
        <v>54</v>
      </c>
      <c r="B198" s="41" t="s">
        <v>85</v>
      </c>
      <c r="C198" s="41" t="str">
        <f aca="false">'Process Summary'!B32</f>
        <v>LOW</v>
      </c>
      <c r="D198" s="41" t="str">
        <f aca="false">'Process Summary'!C32</f>
        <v>Developer 2</v>
      </c>
      <c r="E198" s="41" t="str">
        <f aca="false">IF(F198=100%,"Completed",IF(E199="On Hold","On Hold",IF(E200="On Hold","On Hold",IF(E201="On Hold","On Hold",IF(E202="On Hold","On Hold",IF(E203="On Hold","On Hold",IF(E204="On Hold","On Hold",IF(F198&gt;0%,"In Progress","Not Started"))))))))</f>
        <v>Not Started</v>
      </c>
      <c r="F198" s="42" t="n">
        <f aca="false">(F199*3+F200*5+F201+F202*IF(C198="LOW",13,IF(C198="MEDIUM",23,33))+F203*2+F204)/(12+IF(C198="LOW",13,IF(C198="MEDIUM",23,33)))</f>
        <v>0</v>
      </c>
      <c r="G198" s="43" t="n">
        <f aca="false">'Process Summary'!G32</f>
        <v>46450</v>
      </c>
      <c r="H198" s="43" t="n">
        <f aca="false">H204</f>
        <v>46481</v>
      </c>
      <c r="I198" s="43" t="str">
        <f aca="false">IF(COUNT(I199:I204)=0,"",MIN(I199:I204))</f>
        <v/>
      </c>
      <c r="J198" s="43" t="str">
        <f aca="false">IF(COUNT(J199:J204)=0,"",MAX(J199:J204))</f>
        <v/>
      </c>
      <c r="K198" s="41" t="n">
        <f aca="true">IF(E198="Cancelled","",IF(J198&lt;&gt;"",J198-H198,IF(AND(E198&lt;&gt;"Completed",TODAY()&gt;H198),TODAY()-H198,0)))</f>
        <v>0</v>
      </c>
      <c r="L198" s="41" t="str">
        <f aca="false">IF(E198="Cancelled","Gray",IF(E198="On Hold","Red",IF(E198="Completed",IF(K198&gt;5,"Red",IF(K198&gt;0,"Amber","Green")),IF(K198&gt;5,"Red",IF(K198&gt;0,"Amber","Green")))))</f>
        <v>Green</v>
      </c>
      <c r="M198" s="44"/>
      <c r="N198" s="44"/>
      <c r="O198" s="41" t="s">
        <v>122</v>
      </c>
      <c r="P198" s="41"/>
      <c r="Q198" s="41"/>
      <c r="R198" s="41" t="s">
        <v>87</v>
      </c>
      <c r="S198" s="44"/>
      <c r="T198" s="44"/>
      <c r="U198" s="41" t="s">
        <v>88</v>
      </c>
      <c r="V198" s="41"/>
      <c r="W198" s="41"/>
      <c r="X198" s="45" t="n">
        <v>46233.4534722222</v>
      </c>
      <c r="Y198" s="41" t="s">
        <v>89</v>
      </c>
    </row>
    <row r="199" customFormat="false" ht="15.75" hidden="false" customHeight="true" outlineLevel="0" collapsed="false">
      <c r="A199" s="46"/>
      <c r="B199" s="46" t="s">
        <v>22</v>
      </c>
      <c r="C199" s="46" t="str">
        <f aca="false">C198</f>
        <v>LOW</v>
      </c>
      <c r="D199" s="46" t="str">
        <f aca="false">D198</f>
        <v>Developer 2</v>
      </c>
      <c r="E199" s="34" t="s">
        <v>9</v>
      </c>
      <c r="F199" s="47" t="n">
        <f aca="false">IF(E199="Completed",100%,IF(OR(E199="In Progress",E199="On Hold"),50%,0%))</f>
        <v>0</v>
      </c>
      <c r="G199" s="48" t="n">
        <f aca="false">G198</f>
        <v>46450</v>
      </c>
      <c r="H199" s="48" t="n">
        <f aca="false">G199+(Settings!$B$5)-1+2*INT((WEEKDAY(G199,1)-1+(Settings!$B$5)-1)/5)</f>
        <v>46454</v>
      </c>
      <c r="I199" s="49"/>
      <c r="J199" s="49"/>
      <c r="K199" s="46" t="n">
        <f aca="true">IF(E199="Cancelled","",IF(J199&lt;&gt;"",J199-H199,IF(AND(E199&lt;&gt;"Completed",TODAY()&gt;H199),TODAY()-H199,0)))</f>
        <v>0</v>
      </c>
      <c r="L199" s="46" t="str">
        <f aca="false">IF(E199="Cancelled","Gray",IF(E199="On Hold","Red",IF(E199="Completed",IF(K199&gt;5,"Red",IF(K199&gt;0,"Amber","Green")),IF(K199&gt;5,"Red",IF(K199&gt;0,"Amber","Green")))))</f>
        <v>Green</v>
      </c>
      <c r="M199" s="50" t="s">
        <v>90</v>
      </c>
      <c r="N199" s="50"/>
      <c r="O199" s="34" t="str">
        <f aca="false">$O$198</f>
        <v>RPA-029</v>
      </c>
      <c r="P199" s="34"/>
      <c r="Q199" s="51"/>
      <c r="R199" s="34" t="s">
        <v>87</v>
      </c>
      <c r="S199" s="50"/>
      <c r="T199" s="50"/>
      <c r="U199" s="51" t="str">
        <f aca="false">$U$198</f>
        <v>Medium</v>
      </c>
      <c r="V199" s="51" t="str">
        <f aca="false">IF($V$198="","",$V$198)</f>
        <v/>
      </c>
      <c r="W199" s="34" t="str">
        <f aca="false">IF($W$198="","",$W$198)</f>
        <v/>
      </c>
      <c r="X199" s="52" t="n">
        <v>46233.4534722222</v>
      </c>
      <c r="Y199" s="51" t="str">
        <f aca="false">IF($Y$198="","",$Y$198)</f>
        <v>Project Manager</v>
      </c>
    </row>
    <row r="200" customFormat="false" ht="15.75" hidden="false" customHeight="true" outlineLevel="0" collapsed="false">
      <c r="A200" s="46"/>
      <c r="B200" s="46" t="s">
        <v>24</v>
      </c>
      <c r="C200" s="46" t="str">
        <f aca="false">C198</f>
        <v>LOW</v>
      </c>
      <c r="D200" s="46" t="str">
        <f aca="false">D198</f>
        <v>Developer 2</v>
      </c>
      <c r="E200" s="34" t="s">
        <v>9</v>
      </c>
      <c r="F200" s="47" t="n">
        <f aca="false">IF(E200="Completed",100%,IF(OR(E200="In Progress",E200="On Hold"),50%,0%))</f>
        <v>0</v>
      </c>
      <c r="G200" s="48" t="n">
        <f aca="false">H199+1+2*INT((WEEKDAY(H199,1)-1+1)/5)</f>
        <v>46455</v>
      </c>
      <c r="H200" s="48" t="n">
        <f aca="false">G200+(Settings!$B$6)-1+2*INT((WEEKDAY(G200,1)-1+(Settings!$B$6)-1)/5)</f>
        <v>46461</v>
      </c>
      <c r="I200" s="49"/>
      <c r="J200" s="49"/>
      <c r="K200" s="46" t="n">
        <f aca="true">IF(E200="Cancelled","",IF(J200&lt;&gt;"",J200-H200,IF(AND(E200&lt;&gt;"Completed",TODAY()&gt;H200),TODAY()-H200,0)))</f>
        <v>0</v>
      </c>
      <c r="L200" s="46" t="str">
        <f aca="false">IF(E200="Cancelled","Gray",IF(E200="On Hold","Red",IF(E200="Completed",IF(K200&gt;5,"Red",IF(K200&gt;0,"Amber","Green")),IF(K200&gt;5,"Red",IF(K200&gt;0,"Amber","Green")))))</f>
        <v>Green</v>
      </c>
      <c r="M200" s="50" t="s">
        <v>90</v>
      </c>
      <c r="N200" s="50"/>
      <c r="O200" s="34" t="str">
        <f aca="false">$O$198</f>
        <v>RPA-029</v>
      </c>
      <c r="P200" s="34"/>
      <c r="Q200" s="51"/>
      <c r="R200" s="34" t="s">
        <v>87</v>
      </c>
      <c r="S200" s="50"/>
      <c r="T200" s="50"/>
      <c r="U200" s="51" t="str">
        <f aca="false">$U$198</f>
        <v>Medium</v>
      </c>
      <c r="V200" s="51" t="str">
        <f aca="false">IF($V$198="","",$V$198)</f>
        <v/>
      </c>
      <c r="W200" s="34" t="str">
        <f aca="false">IF($W$198="","",$W$198)</f>
        <v/>
      </c>
      <c r="X200" s="52" t="n">
        <v>46233.4534722222</v>
      </c>
      <c r="Y200" s="51" t="str">
        <f aca="false">IF($Y$198="","",$Y$198)</f>
        <v>Project Manager</v>
      </c>
    </row>
    <row r="201" customFormat="false" ht="15.75" hidden="false" customHeight="true" outlineLevel="0" collapsed="false">
      <c r="A201" s="46"/>
      <c r="B201" s="46" t="s">
        <v>26</v>
      </c>
      <c r="C201" s="46" t="str">
        <f aca="false">C198</f>
        <v>LOW</v>
      </c>
      <c r="D201" s="46" t="str">
        <f aca="false">D198</f>
        <v>Developer 2</v>
      </c>
      <c r="E201" s="34" t="s">
        <v>9</v>
      </c>
      <c r="F201" s="47" t="n">
        <f aca="false">IF(E201="Completed",100%,IF(OR(E201="In Progress",E201="On Hold"),50%,0%))</f>
        <v>0</v>
      </c>
      <c r="G201" s="48" t="n">
        <f aca="false">H200+1+2*INT((WEEKDAY(H200,1)-1+1)/5)</f>
        <v>46462</v>
      </c>
      <c r="H201" s="48" t="n">
        <f aca="false">G201+(Settings!$B$7)-1+2*INT((WEEKDAY(G201,1)-1+(Settings!$B$7)-1)/5)</f>
        <v>46462</v>
      </c>
      <c r="I201" s="49"/>
      <c r="J201" s="49"/>
      <c r="K201" s="46" t="n">
        <f aca="true">IF(E201="Cancelled","",IF(J201&lt;&gt;"",J201-H201,IF(AND(E201&lt;&gt;"Completed",TODAY()&gt;H201),TODAY()-H201,0)))</f>
        <v>0</v>
      </c>
      <c r="L201" s="46" t="str">
        <f aca="false">IF(E201="Cancelled","Gray",IF(E201="On Hold","Red",IF(E201="Completed",IF(K201&gt;5,"Red",IF(K201&gt;0,"Amber","Green")),IF(K201&gt;5,"Red",IF(K201&gt;0,"Amber","Green")))))</f>
        <v>Green</v>
      </c>
      <c r="M201" s="50" t="s">
        <v>91</v>
      </c>
      <c r="N201" s="50"/>
      <c r="O201" s="34" t="str">
        <f aca="false">$O$198</f>
        <v>RPA-029</v>
      </c>
      <c r="P201" s="34"/>
      <c r="Q201" s="51"/>
      <c r="R201" s="34" t="s">
        <v>87</v>
      </c>
      <c r="S201" s="50"/>
      <c r="T201" s="50"/>
      <c r="U201" s="51" t="str">
        <f aca="false">$U$198</f>
        <v>Medium</v>
      </c>
      <c r="V201" s="51" t="str">
        <f aca="false">IF($V$198="","",$V$198)</f>
        <v/>
      </c>
      <c r="W201" s="34" t="str">
        <f aca="false">IF($W$198="","",$W$198)</f>
        <v/>
      </c>
      <c r="X201" s="52" t="n">
        <v>46233.4534722222</v>
      </c>
      <c r="Y201" s="51" t="str">
        <f aca="false">IF($Y$198="","",$Y$198)</f>
        <v>Project Manager</v>
      </c>
    </row>
    <row r="202" customFormat="false" ht="15.75" hidden="false" customHeight="true" outlineLevel="0" collapsed="false">
      <c r="A202" s="46"/>
      <c r="B202" s="46" t="s">
        <v>28</v>
      </c>
      <c r="C202" s="46" t="str">
        <f aca="false">C198</f>
        <v>LOW</v>
      </c>
      <c r="D202" s="46" t="str">
        <f aca="false">D198</f>
        <v>Developer 2</v>
      </c>
      <c r="E202" s="34" t="s">
        <v>9</v>
      </c>
      <c r="F202" s="47" t="n">
        <f aca="false">IF(E202="Completed",100%,IF(OR(E202="In Progress",E202="On Hold"),50%,0%))</f>
        <v>0</v>
      </c>
      <c r="G202" s="48" t="n">
        <f aca="false">H201+1+2*INT((WEEKDAY(H201,1)-1+1)/5)</f>
        <v>46463</v>
      </c>
      <c r="H202" s="48" t="n">
        <f aca="false">G202+(IF(C202="LOW",Settings!$B$8,IF(C202="MEDIUM",Settings!$B$9,Settings!$B$10)))-1+2*INT((WEEKDAY(G202,1)-1+(IF(C202="LOW",Settings!$B$8,IF(C202="MEDIUM",Settings!$B$9,Settings!$B$10)))-1)/5)</f>
        <v>46476</v>
      </c>
      <c r="I202" s="49"/>
      <c r="J202" s="49"/>
      <c r="K202" s="46" t="n">
        <f aca="true">IF(E202="Cancelled","",IF(J202&lt;&gt;"",J202-H202,IF(AND(E202&lt;&gt;"Completed",TODAY()&gt;H202),TODAY()-H202,0)))</f>
        <v>0</v>
      </c>
      <c r="L202" s="46" t="str">
        <f aca="false">IF(E202="Cancelled","Gray",IF(E202="On Hold","Red",IF(E202="Completed",IF(K202&gt;5,"Red",IF(K202&gt;0,"Amber","Green")),IF(K202&gt;5,"Red",IF(K202&gt;0,"Amber","Green")))))</f>
        <v>Green</v>
      </c>
      <c r="M202" s="50" t="s">
        <v>92</v>
      </c>
      <c r="N202" s="50"/>
      <c r="O202" s="34" t="str">
        <f aca="false">$O$198</f>
        <v>RPA-029</v>
      </c>
      <c r="P202" s="34"/>
      <c r="Q202" s="51"/>
      <c r="R202" s="34" t="s">
        <v>87</v>
      </c>
      <c r="S202" s="50"/>
      <c r="T202" s="50"/>
      <c r="U202" s="51" t="str">
        <f aca="false">$U$198</f>
        <v>Medium</v>
      </c>
      <c r="V202" s="51" t="str">
        <f aca="false">IF($V$198="","",$V$198)</f>
        <v/>
      </c>
      <c r="W202" s="34" t="str">
        <f aca="false">IF($W$198="","",$W$198)</f>
        <v/>
      </c>
      <c r="X202" s="52" t="n">
        <v>46233.4534722222</v>
      </c>
      <c r="Y202" s="51" t="str">
        <f aca="false">IF($Y$198="","",$Y$198)</f>
        <v>Project Manager</v>
      </c>
    </row>
    <row r="203" customFormat="false" ht="15.75" hidden="false" customHeight="true" outlineLevel="0" collapsed="false">
      <c r="A203" s="46"/>
      <c r="B203" s="46" t="s">
        <v>30</v>
      </c>
      <c r="C203" s="46" t="str">
        <f aca="false">C198</f>
        <v>LOW</v>
      </c>
      <c r="D203" s="46" t="str">
        <f aca="false">D198</f>
        <v>Developer 2</v>
      </c>
      <c r="E203" s="34" t="s">
        <v>9</v>
      </c>
      <c r="F203" s="47" t="n">
        <f aca="false">IF(E203="Completed",100%,IF(OR(E203="In Progress",E203="On Hold"),50%,0%))</f>
        <v>0</v>
      </c>
      <c r="G203" s="48" t="n">
        <f aca="false">H202+1+2*INT((WEEKDAY(H202,1)-1+1)/5)</f>
        <v>46477</v>
      </c>
      <c r="H203" s="48" t="n">
        <f aca="false">G203+(Settings!$B$11)-1+2*INT((WEEKDAY(G203,1)-1+(Settings!$B$11)-1)/5)</f>
        <v>46478</v>
      </c>
      <c r="I203" s="49"/>
      <c r="J203" s="49"/>
      <c r="K203" s="46" t="n">
        <f aca="true">IF(E203="Cancelled","",IF(J203&lt;&gt;"",J203-H203,IF(AND(E203&lt;&gt;"Completed",TODAY()&gt;H203),TODAY()-H203,0)))</f>
        <v>0</v>
      </c>
      <c r="L203" s="46" t="str">
        <f aca="false">IF(E203="Cancelled","Gray",IF(E203="On Hold","Red",IF(E203="Completed",IF(K203&gt;5,"Red",IF(K203&gt;0,"Amber","Green")),IF(K203&gt;5,"Red",IF(K203&gt;0,"Amber","Green")))))</f>
        <v>Green</v>
      </c>
      <c r="M203" s="50" t="s">
        <v>93</v>
      </c>
      <c r="N203" s="50"/>
      <c r="O203" s="34" t="str">
        <f aca="false">$O$198</f>
        <v>RPA-029</v>
      </c>
      <c r="P203" s="34"/>
      <c r="Q203" s="51"/>
      <c r="R203" s="34" t="s">
        <v>87</v>
      </c>
      <c r="S203" s="50"/>
      <c r="T203" s="50"/>
      <c r="U203" s="51" t="str">
        <f aca="false">$U$198</f>
        <v>Medium</v>
      </c>
      <c r="V203" s="51" t="str">
        <f aca="false">IF($V$198="","",$V$198)</f>
        <v/>
      </c>
      <c r="W203" s="34" t="str">
        <f aca="false">IF($W$198="","",$W$198)</f>
        <v/>
      </c>
      <c r="X203" s="52" t="n">
        <v>46233.4534722222</v>
      </c>
      <c r="Y203" s="51" t="str">
        <f aca="false">IF($Y$198="","",$Y$198)</f>
        <v>Project Manager</v>
      </c>
    </row>
    <row r="204" customFormat="false" ht="15.75" hidden="false" customHeight="true" outlineLevel="0" collapsed="false">
      <c r="A204" s="46"/>
      <c r="B204" s="46" t="s">
        <v>31</v>
      </c>
      <c r="C204" s="46" t="str">
        <f aca="false">C198</f>
        <v>LOW</v>
      </c>
      <c r="D204" s="46" t="str">
        <f aca="false">D198</f>
        <v>Developer 2</v>
      </c>
      <c r="E204" s="34" t="s">
        <v>9</v>
      </c>
      <c r="F204" s="47" t="n">
        <f aca="false">IF(E204="Completed",100%,IF(OR(E204="In Progress",E204="On Hold"),50%,0%))</f>
        <v>0</v>
      </c>
      <c r="G204" s="48" t="n">
        <f aca="false">H203+1+2*INT((WEEKDAY(H203,1)-1+1)/5)</f>
        <v>46481</v>
      </c>
      <c r="H204" s="48" t="n">
        <f aca="false">G204+(Settings!$B$12)-1+2*INT((WEEKDAY(G204,1)-1+(Settings!$B$12)-1)/5)</f>
        <v>46481</v>
      </c>
      <c r="I204" s="49"/>
      <c r="J204" s="49"/>
      <c r="K204" s="46" t="n">
        <f aca="true">IF(E204="Cancelled","",IF(J204&lt;&gt;"",J204-H204,IF(AND(E204&lt;&gt;"Completed",TODAY()&gt;H204),TODAY()-H204,0)))</f>
        <v>0</v>
      </c>
      <c r="L204" s="46" t="str">
        <f aca="false">IF(E204="Cancelled","Gray",IF(E204="On Hold","Red",IF(E204="Completed",IF(K204&gt;5,"Red",IF(K204&gt;0,"Amber","Green")),IF(K204&gt;5,"Red",IF(K204&gt;0,"Amber","Green")))))</f>
        <v>Green</v>
      </c>
      <c r="M204" s="50" t="s">
        <v>92</v>
      </c>
      <c r="N204" s="50"/>
      <c r="O204" s="34" t="str">
        <f aca="false">$O$198</f>
        <v>RPA-029</v>
      </c>
      <c r="P204" s="34"/>
      <c r="Q204" s="51"/>
      <c r="R204" s="34" t="s">
        <v>87</v>
      </c>
      <c r="S204" s="50"/>
      <c r="T204" s="50"/>
      <c r="U204" s="51" t="str">
        <f aca="false">$U$198</f>
        <v>Medium</v>
      </c>
      <c r="V204" s="51" t="str">
        <f aca="false">IF($V$198="","",$V$198)</f>
        <v/>
      </c>
      <c r="W204" s="34" t="str">
        <f aca="false">IF($W$198="","",$W$198)</f>
        <v/>
      </c>
      <c r="X204" s="52" t="n">
        <v>46233.4534722222</v>
      </c>
      <c r="Y204" s="51" t="str">
        <f aca="false">IF($Y$198="","",$Y$198)</f>
        <v>Project Manager</v>
      </c>
    </row>
    <row r="205" customFormat="false" ht="15" hidden="false" customHeight="false" outlineLevel="0" collapsed="false">
      <c r="A205" s="41" t="s">
        <v>54</v>
      </c>
      <c r="B205" s="41" t="s">
        <v>85</v>
      </c>
      <c r="C205" s="41" t="str">
        <f aca="false">'Process Summary'!B33</f>
        <v>LOW</v>
      </c>
      <c r="D205" s="41" t="str">
        <f aca="false">'Process Summary'!C33</f>
        <v>Developer 3</v>
      </c>
      <c r="E205" s="41" t="str">
        <f aca="false">IF(F205=100%,"Completed",IF(E206="On Hold","On Hold",IF(E207="On Hold","On Hold",IF(E208="On Hold","On Hold",IF(E209="On Hold","On Hold",IF(E210="On Hold","On Hold",IF(E211="On Hold","On Hold",IF(F205&gt;0%,"In Progress","Not Started"))))))))</f>
        <v>Not Started</v>
      </c>
      <c r="F205" s="42" t="n">
        <f aca="false">(F206*3+F207*5+F208+F209*IF(C205="LOW",13,IF(C205="MEDIUM",23,33))+F210*2+F211)/(12+IF(C205="LOW",13,IF(C205="MEDIUM",23,33)))</f>
        <v>0</v>
      </c>
      <c r="G205" s="43" t="n">
        <f aca="false">'Process Summary'!G33</f>
        <v>46443</v>
      </c>
      <c r="H205" s="43" t="n">
        <f aca="false">H211</f>
        <v>46474</v>
      </c>
      <c r="I205" s="43" t="str">
        <f aca="false">IF(COUNT(I206:I211)=0,"",MIN(I206:I211))</f>
        <v/>
      </c>
      <c r="J205" s="43" t="str">
        <f aca="false">IF(COUNT(J206:J211)=0,"",MAX(J206:J211))</f>
        <v/>
      </c>
      <c r="K205" s="41" t="n">
        <f aca="true">IF(E205="Cancelled","",IF(J205&lt;&gt;"",J205-H205,IF(AND(E205&lt;&gt;"Completed",TODAY()&gt;H205),TODAY()-H205,0)))</f>
        <v>0</v>
      </c>
      <c r="L205" s="41" t="str">
        <f aca="false">IF(E205="Cancelled","Gray",IF(E205="On Hold","Red",IF(E205="Completed",IF(K205&gt;5,"Red",IF(K205&gt;0,"Amber","Green")),IF(K205&gt;5,"Red",IF(K205&gt;0,"Amber","Green")))))</f>
        <v>Green</v>
      </c>
      <c r="M205" s="44"/>
      <c r="N205" s="44"/>
      <c r="O205" s="41" t="s">
        <v>123</v>
      </c>
      <c r="P205" s="41"/>
      <c r="Q205" s="41"/>
      <c r="R205" s="41" t="s">
        <v>87</v>
      </c>
      <c r="S205" s="44"/>
      <c r="T205" s="44"/>
      <c r="U205" s="41" t="s">
        <v>88</v>
      </c>
      <c r="V205" s="41"/>
      <c r="W205" s="41"/>
      <c r="X205" s="45" t="n">
        <v>46233.4534722222</v>
      </c>
      <c r="Y205" s="41" t="s">
        <v>89</v>
      </c>
    </row>
    <row r="206" customFormat="false" ht="15.75" hidden="false" customHeight="true" outlineLevel="0" collapsed="false">
      <c r="A206" s="51"/>
      <c r="B206" s="51" t="s">
        <v>22</v>
      </c>
      <c r="C206" s="51" t="str">
        <f aca="false">C205</f>
        <v>LOW</v>
      </c>
      <c r="D206" s="51" t="str">
        <f aca="false">D205</f>
        <v>Developer 3</v>
      </c>
      <c r="E206" s="34" t="s">
        <v>9</v>
      </c>
      <c r="F206" s="53" t="n">
        <f aca="false">IF(E206="Completed",100%,IF(OR(E206="In Progress",E206="On Hold"),50%,0%))</f>
        <v>0</v>
      </c>
      <c r="G206" s="49" t="n">
        <f aca="false">G205</f>
        <v>46443</v>
      </c>
      <c r="H206" s="49" t="n">
        <f aca="false">G206+(Settings!$B$5)-1+2*INT((WEEKDAY(G206,1)-1+(Settings!$B$5)-1)/5)</f>
        <v>46447</v>
      </c>
      <c r="I206" s="49"/>
      <c r="J206" s="49"/>
      <c r="K206" s="51" t="n">
        <f aca="true">IF(E206="Cancelled","",IF(J206&lt;&gt;"",J206-H206,IF(AND(E206&lt;&gt;"Completed",TODAY()&gt;H206),TODAY()-H206,0)))</f>
        <v>0</v>
      </c>
      <c r="L206" s="51" t="str">
        <f aca="false">IF(E206="Cancelled","Gray",IF(E206="On Hold","Red",IF(E206="Completed",IF(K206&gt;5,"Red",IF(K206&gt;0,"Amber","Green")),IF(K206&gt;5,"Red",IF(K206&gt;0,"Amber","Green")))))</f>
        <v>Green</v>
      </c>
      <c r="M206" s="50" t="s">
        <v>90</v>
      </c>
      <c r="N206" s="50"/>
      <c r="O206" s="34" t="str">
        <f aca="false">$O$205</f>
        <v>RPA-030</v>
      </c>
      <c r="P206" s="34"/>
      <c r="Q206" s="51"/>
      <c r="R206" s="34" t="s">
        <v>87</v>
      </c>
      <c r="S206" s="50"/>
      <c r="T206" s="50"/>
      <c r="U206" s="51" t="str">
        <f aca="false">$U$205</f>
        <v>Medium</v>
      </c>
      <c r="V206" s="51" t="str">
        <f aca="false">IF($V$205="","",$V$205)</f>
        <v/>
      </c>
      <c r="W206" s="34" t="str">
        <f aca="false">IF($W$205="","",$W$205)</f>
        <v/>
      </c>
      <c r="X206" s="52" t="n">
        <v>46233.4534722222</v>
      </c>
      <c r="Y206" s="51" t="str">
        <f aca="false">IF($Y$205="","",$Y$205)</f>
        <v>Project Manager</v>
      </c>
    </row>
    <row r="207" customFormat="false" ht="15.75" hidden="false" customHeight="true" outlineLevel="0" collapsed="false">
      <c r="A207" s="51"/>
      <c r="B207" s="51" t="s">
        <v>24</v>
      </c>
      <c r="C207" s="51" t="str">
        <f aca="false">C205</f>
        <v>LOW</v>
      </c>
      <c r="D207" s="51" t="str">
        <f aca="false">D205</f>
        <v>Developer 3</v>
      </c>
      <c r="E207" s="34" t="s">
        <v>9</v>
      </c>
      <c r="F207" s="53" t="n">
        <f aca="false">IF(E207="Completed",100%,IF(OR(E207="In Progress",E207="On Hold"),50%,0%))</f>
        <v>0</v>
      </c>
      <c r="G207" s="49" t="n">
        <f aca="false">H206+1+2*INT((WEEKDAY(H206,1)-1+1)/5)</f>
        <v>46448</v>
      </c>
      <c r="H207" s="49" t="n">
        <f aca="false">G207+(Settings!$B$6)-1+2*INT((WEEKDAY(G207,1)-1+(Settings!$B$6)-1)/5)</f>
        <v>46454</v>
      </c>
      <c r="I207" s="49"/>
      <c r="J207" s="49"/>
      <c r="K207" s="51" t="n">
        <f aca="true">IF(E207="Cancelled","",IF(J207&lt;&gt;"",J207-H207,IF(AND(E207&lt;&gt;"Completed",TODAY()&gt;H207),TODAY()-H207,0)))</f>
        <v>0</v>
      </c>
      <c r="L207" s="51" t="str">
        <f aca="false">IF(E207="Cancelled","Gray",IF(E207="On Hold","Red",IF(E207="Completed",IF(K207&gt;5,"Red",IF(K207&gt;0,"Amber","Green")),IF(K207&gt;5,"Red",IF(K207&gt;0,"Amber","Green")))))</f>
        <v>Green</v>
      </c>
      <c r="M207" s="50" t="s">
        <v>90</v>
      </c>
      <c r="N207" s="50"/>
      <c r="O207" s="34" t="str">
        <f aca="false">$O$205</f>
        <v>RPA-030</v>
      </c>
      <c r="P207" s="34"/>
      <c r="Q207" s="51"/>
      <c r="R207" s="34" t="s">
        <v>87</v>
      </c>
      <c r="S207" s="50"/>
      <c r="T207" s="50"/>
      <c r="U207" s="51" t="str">
        <f aca="false">$U$205</f>
        <v>Medium</v>
      </c>
      <c r="V207" s="51" t="str">
        <f aca="false">IF($V$205="","",$V$205)</f>
        <v/>
      </c>
      <c r="W207" s="34" t="str">
        <f aca="false">IF($W$205="","",$W$205)</f>
        <v/>
      </c>
      <c r="X207" s="52" t="n">
        <v>46233.4534722222</v>
      </c>
      <c r="Y207" s="51" t="str">
        <f aca="false">IF($Y$205="","",$Y$205)</f>
        <v>Project Manager</v>
      </c>
    </row>
    <row r="208" customFormat="false" ht="15.75" hidden="false" customHeight="true" outlineLevel="0" collapsed="false">
      <c r="A208" s="51"/>
      <c r="B208" s="51" t="s">
        <v>26</v>
      </c>
      <c r="C208" s="51" t="str">
        <f aca="false">C205</f>
        <v>LOW</v>
      </c>
      <c r="D208" s="51" t="str">
        <f aca="false">D205</f>
        <v>Developer 3</v>
      </c>
      <c r="E208" s="34" t="s">
        <v>9</v>
      </c>
      <c r="F208" s="53" t="n">
        <f aca="false">IF(E208="Completed",100%,IF(OR(E208="In Progress",E208="On Hold"),50%,0%))</f>
        <v>0</v>
      </c>
      <c r="G208" s="49" t="n">
        <f aca="false">H207+1+2*INT((WEEKDAY(H207,1)-1+1)/5)</f>
        <v>46455</v>
      </c>
      <c r="H208" s="49" t="n">
        <f aca="false">G208+(Settings!$B$7)-1+2*INT((WEEKDAY(G208,1)-1+(Settings!$B$7)-1)/5)</f>
        <v>46455</v>
      </c>
      <c r="I208" s="49"/>
      <c r="J208" s="49"/>
      <c r="K208" s="51" t="n">
        <f aca="true">IF(E208="Cancelled","",IF(J208&lt;&gt;"",J208-H208,IF(AND(E208&lt;&gt;"Completed",TODAY()&gt;H208),TODAY()-H208,0)))</f>
        <v>0</v>
      </c>
      <c r="L208" s="51" t="str">
        <f aca="false">IF(E208="Cancelled","Gray",IF(E208="On Hold","Red",IF(E208="Completed",IF(K208&gt;5,"Red",IF(K208&gt;0,"Amber","Green")),IF(K208&gt;5,"Red",IF(K208&gt;0,"Amber","Green")))))</f>
        <v>Green</v>
      </c>
      <c r="M208" s="50" t="s">
        <v>91</v>
      </c>
      <c r="N208" s="50"/>
      <c r="O208" s="34" t="str">
        <f aca="false">$O$205</f>
        <v>RPA-030</v>
      </c>
      <c r="P208" s="34"/>
      <c r="Q208" s="51"/>
      <c r="R208" s="34" t="s">
        <v>87</v>
      </c>
      <c r="S208" s="50"/>
      <c r="T208" s="50"/>
      <c r="U208" s="51" t="str">
        <f aca="false">$U$205</f>
        <v>Medium</v>
      </c>
      <c r="V208" s="51" t="str">
        <f aca="false">IF($V$205="","",$V$205)</f>
        <v/>
      </c>
      <c r="W208" s="34" t="str">
        <f aca="false">IF($W$205="","",$W$205)</f>
        <v/>
      </c>
      <c r="X208" s="52" t="n">
        <v>46233.4534722222</v>
      </c>
      <c r="Y208" s="51" t="str">
        <f aca="false">IF($Y$205="","",$Y$205)</f>
        <v>Project Manager</v>
      </c>
    </row>
    <row r="209" customFormat="false" ht="15.75" hidden="false" customHeight="true" outlineLevel="0" collapsed="false">
      <c r="A209" s="51"/>
      <c r="B209" s="51" t="s">
        <v>28</v>
      </c>
      <c r="C209" s="51" t="str">
        <f aca="false">C205</f>
        <v>LOW</v>
      </c>
      <c r="D209" s="51" t="str">
        <f aca="false">D205</f>
        <v>Developer 3</v>
      </c>
      <c r="E209" s="34" t="s">
        <v>9</v>
      </c>
      <c r="F209" s="53" t="n">
        <f aca="false">IF(E209="Completed",100%,IF(OR(E209="In Progress",E209="On Hold"),50%,0%))</f>
        <v>0</v>
      </c>
      <c r="G209" s="49" t="n">
        <f aca="false">H208+1+2*INT((WEEKDAY(H208,1)-1+1)/5)</f>
        <v>46456</v>
      </c>
      <c r="H209" s="49" t="n">
        <f aca="false">G209+(IF(C209="LOW",Settings!$B$8,IF(C209="MEDIUM",Settings!$B$9,Settings!$B$10)))-1+2*INT((WEEKDAY(G209,1)-1+(IF(C209="LOW",Settings!$B$8,IF(C209="MEDIUM",Settings!$B$9,Settings!$B$10)))-1)/5)</f>
        <v>46469</v>
      </c>
      <c r="I209" s="49"/>
      <c r="J209" s="49"/>
      <c r="K209" s="51" t="n">
        <f aca="true">IF(E209="Cancelled","",IF(J209&lt;&gt;"",J209-H209,IF(AND(E209&lt;&gt;"Completed",TODAY()&gt;H209),TODAY()-H209,0)))</f>
        <v>0</v>
      </c>
      <c r="L209" s="51" t="str">
        <f aca="false">IF(E209="Cancelled","Gray",IF(E209="On Hold","Red",IF(E209="Completed",IF(K209&gt;5,"Red",IF(K209&gt;0,"Amber","Green")),IF(K209&gt;5,"Red",IF(K209&gt;0,"Amber","Green")))))</f>
        <v>Green</v>
      </c>
      <c r="M209" s="50" t="s">
        <v>92</v>
      </c>
      <c r="N209" s="50"/>
      <c r="O209" s="34" t="str">
        <f aca="false">$O$205</f>
        <v>RPA-030</v>
      </c>
      <c r="P209" s="34"/>
      <c r="Q209" s="51"/>
      <c r="R209" s="34" t="s">
        <v>87</v>
      </c>
      <c r="S209" s="50"/>
      <c r="T209" s="50"/>
      <c r="U209" s="51" t="str">
        <f aca="false">$U$205</f>
        <v>Medium</v>
      </c>
      <c r="V209" s="51" t="str">
        <f aca="false">IF($V$205="","",$V$205)</f>
        <v/>
      </c>
      <c r="W209" s="34" t="str">
        <f aca="false">IF($W$205="","",$W$205)</f>
        <v/>
      </c>
      <c r="X209" s="52" t="n">
        <v>46233.4534722222</v>
      </c>
      <c r="Y209" s="51" t="str">
        <f aca="false">IF($Y$205="","",$Y$205)</f>
        <v>Project Manager</v>
      </c>
    </row>
    <row r="210" customFormat="false" ht="15.75" hidden="false" customHeight="true" outlineLevel="0" collapsed="false">
      <c r="A210" s="51"/>
      <c r="B210" s="51" t="s">
        <v>30</v>
      </c>
      <c r="C210" s="51" t="str">
        <f aca="false">C205</f>
        <v>LOW</v>
      </c>
      <c r="D210" s="51" t="str">
        <f aca="false">D205</f>
        <v>Developer 3</v>
      </c>
      <c r="E210" s="34" t="s">
        <v>9</v>
      </c>
      <c r="F210" s="53" t="n">
        <f aca="false">IF(E210="Completed",100%,IF(OR(E210="In Progress",E210="On Hold"),50%,0%))</f>
        <v>0</v>
      </c>
      <c r="G210" s="49" t="n">
        <f aca="false">H209+1+2*INT((WEEKDAY(H209,1)-1+1)/5)</f>
        <v>46470</v>
      </c>
      <c r="H210" s="49" t="n">
        <f aca="false">G210+(Settings!$B$11)-1+2*INT((WEEKDAY(G210,1)-1+(Settings!$B$11)-1)/5)</f>
        <v>46471</v>
      </c>
      <c r="I210" s="49"/>
      <c r="J210" s="49"/>
      <c r="K210" s="51" t="n">
        <f aca="true">IF(E210="Cancelled","",IF(J210&lt;&gt;"",J210-H210,IF(AND(E210&lt;&gt;"Completed",TODAY()&gt;H210),TODAY()-H210,0)))</f>
        <v>0</v>
      </c>
      <c r="L210" s="51" t="str">
        <f aca="false">IF(E210="Cancelled","Gray",IF(E210="On Hold","Red",IF(E210="Completed",IF(K210&gt;5,"Red",IF(K210&gt;0,"Amber","Green")),IF(K210&gt;5,"Red",IF(K210&gt;0,"Amber","Green")))))</f>
        <v>Green</v>
      </c>
      <c r="M210" s="50" t="s">
        <v>93</v>
      </c>
      <c r="N210" s="50"/>
      <c r="O210" s="34" t="str">
        <f aca="false">$O$205</f>
        <v>RPA-030</v>
      </c>
      <c r="P210" s="34"/>
      <c r="Q210" s="51"/>
      <c r="R210" s="34" t="s">
        <v>87</v>
      </c>
      <c r="S210" s="50"/>
      <c r="T210" s="50"/>
      <c r="U210" s="51" t="str">
        <f aca="false">$U$205</f>
        <v>Medium</v>
      </c>
      <c r="V210" s="51" t="str">
        <f aca="false">IF($V$205="","",$V$205)</f>
        <v/>
      </c>
      <c r="W210" s="34" t="str">
        <f aca="false">IF($W$205="","",$W$205)</f>
        <v/>
      </c>
      <c r="X210" s="52" t="n">
        <v>46233.4534722222</v>
      </c>
      <c r="Y210" s="51" t="str">
        <f aca="false">IF($Y$205="","",$Y$205)</f>
        <v>Project Manager</v>
      </c>
    </row>
    <row r="211" customFormat="false" ht="15.75" hidden="false" customHeight="true" outlineLevel="0" collapsed="false">
      <c r="A211" s="51"/>
      <c r="B211" s="51" t="s">
        <v>31</v>
      </c>
      <c r="C211" s="51" t="str">
        <f aca="false">C205</f>
        <v>LOW</v>
      </c>
      <c r="D211" s="51" t="str">
        <f aca="false">D205</f>
        <v>Developer 3</v>
      </c>
      <c r="E211" s="34" t="s">
        <v>9</v>
      </c>
      <c r="F211" s="53" t="n">
        <f aca="false">IF(E211="Completed",100%,IF(OR(E211="In Progress",E211="On Hold"),50%,0%))</f>
        <v>0</v>
      </c>
      <c r="G211" s="49" t="n">
        <f aca="false">H210+1+2*INT((WEEKDAY(H210,1)-1+1)/5)</f>
        <v>46474</v>
      </c>
      <c r="H211" s="49" t="n">
        <f aca="false">G211+(Settings!$B$12)-1+2*INT((WEEKDAY(G211,1)-1+(Settings!$B$12)-1)/5)</f>
        <v>46474</v>
      </c>
      <c r="I211" s="49"/>
      <c r="J211" s="49"/>
      <c r="K211" s="51" t="n">
        <f aca="true">IF(E211="Cancelled","",IF(J211&lt;&gt;"",J211-H211,IF(AND(E211&lt;&gt;"Completed",TODAY()&gt;H211),TODAY()-H211,0)))</f>
        <v>0</v>
      </c>
      <c r="L211" s="51" t="str">
        <f aca="false">IF(E211="Cancelled","Gray",IF(E211="On Hold","Red",IF(E211="Completed",IF(K211&gt;5,"Red",IF(K211&gt;0,"Amber","Green")),IF(K211&gt;5,"Red",IF(K211&gt;0,"Amber","Green")))))</f>
        <v>Green</v>
      </c>
      <c r="M211" s="50" t="s">
        <v>92</v>
      </c>
      <c r="N211" s="50"/>
      <c r="O211" s="34" t="str">
        <f aca="false">$O$205</f>
        <v>RPA-030</v>
      </c>
      <c r="P211" s="34"/>
      <c r="Q211" s="51"/>
      <c r="R211" s="34" t="s">
        <v>87</v>
      </c>
      <c r="S211" s="50"/>
      <c r="T211" s="50"/>
      <c r="U211" s="51" t="str">
        <f aca="false">$U$205</f>
        <v>Medium</v>
      </c>
      <c r="V211" s="51" t="str">
        <f aca="false">IF($V$205="","",$V$205)</f>
        <v/>
      </c>
      <c r="W211" s="34" t="str">
        <f aca="false">IF($W$205="","",$W$205)</f>
        <v/>
      </c>
      <c r="X211" s="52" t="n">
        <v>46233.4534722222</v>
      </c>
      <c r="Y211" s="51" t="str">
        <f aca="false">IF($Y$205="","",$Y$205)</f>
        <v>Project Manager</v>
      </c>
    </row>
  </sheetData>
  <autoFilter ref="A1:Y211"/>
  <conditionalFormatting sqref="F2:F211">
    <cfRule type="dataBar" priority="2">
      <dataBar showValue="1" minLength="10" maxLength="90">
        <cfvo type="min" val="0"/>
        <cfvo type="max" val="0"/>
        <color rgb="FF5B9BD5"/>
      </dataBar>
      <extLst>
        <ext xmlns:x14="http://schemas.microsoft.com/office/spreadsheetml/2009/9/main" uri="{B025F937-C7B1-47D3-B67F-A62EFF666E3E}">
          <x14:id>{1C5E942D-9B16-4AE5-A7C4-3620E1D649B0}</x14:id>
        </ext>
      </extLst>
    </cfRule>
    <cfRule type="dataBar" priority="3">
      <dataBar showValue="1" minLength="10" maxLength="90">
        <cfvo type="min" val="0"/>
        <cfvo type="max" val="0"/>
        <color rgb="FF5B9BD5"/>
      </dataBar>
      <extLst>
        <ext xmlns:x14="http://schemas.microsoft.com/office/spreadsheetml/2009/9/main" uri="{B025F937-C7B1-47D3-B67F-A62EFF666E3E}">
          <x14:id>{DEAA804A-8514-409E-A533-1C99F733634D}</x14:id>
        </ext>
      </extLst>
    </cfRule>
  </conditionalFormatting>
  <conditionalFormatting sqref="L2:L211">
    <cfRule type="expression" priority="4" aboveAverage="0" equalAverage="0" bottom="0" percent="0" rank="0" text="" dxfId="11">
      <formula>L2="Green"</formula>
    </cfRule>
    <cfRule type="expression" priority="5" aboveAverage="0" equalAverage="0" bottom="0" percent="0" rank="0" text="" dxfId="12">
      <formula>L2="Amber"</formula>
    </cfRule>
    <cfRule type="expression" priority="6" aboveAverage="0" equalAverage="0" bottom="0" percent="0" rank="0" text="" dxfId="13">
      <formula>L2="Red"</formula>
    </cfRule>
    <cfRule type="expression" priority="7" aboveAverage="0" equalAverage="0" bottom="0" percent="0" rank="0" text="" dxfId="14">
      <formula>L2="Gray"</formula>
    </cfRule>
  </conditionalFormatting>
  <conditionalFormatting sqref="R2:R211">
    <cfRule type="expression" priority="8" aboveAverage="0" equalAverage="0" bottom="0" percent="0" rank="0" text="" dxfId="20">
      <formula>R2="Yes"</formula>
    </cfRule>
  </conditionalFormatting>
  <conditionalFormatting sqref="U2:U211">
    <cfRule type="expression" priority="9" aboveAverage="0" equalAverage="0" bottom="0" percent="0" rank="0" text="" dxfId="21">
      <formula>U2="Critical"</formula>
    </cfRule>
    <cfRule type="expression" priority="10" aboveAverage="0" equalAverage="0" bottom="0" percent="0" rank="0" text="" dxfId="22">
      <formula>U2="High"</formula>
    </cfRule>
    <cfRule type="expression" priority="11" aboveAverage="0" equalAverage="0" bottom="0" percent="0" rank="0" text="" dxfId="23">
      <formula>U2="Medium"</formula>
    </cfRule>
    <cfRule type="expression" priority="12" aboveAverage="0" equalAverage="0" bottom="0" percent="0" rank="0" text="" dxfId="24">
      <formula>U2="Low"</formula>
    </cfRule>
  </conditionalFormatting>
  <conditionalFormatting sqref="X2:X211">
    <cfRule type="expression" priority="13" aboveAverage="0" equalAverage="0" bottom="0" percent="0" rank="0" text="" dxfId="20">
      <formula>AND($E2&lt;&gt;"Completed",$E2&lt;&gt;"Cancelled",$X2&lt;&gt;"",TODAY()-$X2&gt;14)</formula>
    </cfRule>
    <cfRule type="expression" priority="14" aboveAverage="0" equalAverage="0" bottom="0" percent="0" rank="0" text="" dxfId="22">
      <formula>AND($E2&lt;&gt;"Completed",$E2&lt;&gt;"Cancelled",$X2&lt;&gt;"",TODAY()-$X2&gt;7,TODAY()-$X2&lt;=14)</formula>
    </cfRule>
  </conditionalFormatting>
  <dataValidations count="6">
    <dataValidation allowBlank="false" errorStyle="stop" operator="between" showDropDown="false" showErrorMessage="false" showInputMessage="false" sqref="E2:E211" type="list">
      <formula1>"Not Started,In Progress,On Hold,Completed,Cancelled"</formula1>
      <formula2>0</formula2>
    </dataValidation>
    <dataValidation allowBlank="true" error="Choose a value from the list." errorStyle="stop" errorTitle="Invalid value" operator="between" prompt="Select from the approved reference list." promptTitle="Dropdown" showDropDown="false" showErrorMessage="false" showInputMessage="false" sqref="Q2:Q211" type="list">
      <formula1>Settings!$L$4:$L$10</formula1>
      <formula2>0</formula2>
    </dataValidation>
    <dataValidation allowBlank="true" error="Choose a value from the list." errorStyle="stop" errorTitle="Invalid value" operator="between" prompt="Select from the approved reference list." promptTitle="Dropdown" showDropDown="false" showErrorMessage="false" showInputMessage="false" sqref="R2:R211" type="list">
      <formula1>Settings!$J$4:$J$5</formula1>
      <formula2>0</formula2>
    </dataValidation>
    <dataValidation allowBlank="true" error="Choose a value from the list." errorStyle="stop" errorTitle="Invalid value" operator="between" prompt="Select from the approved reference list." promptTitle="Dropdown" showDropDown="false" showErrorMessage="false" showInputMessage="false" sqref="U2:U211" type="list">
      <formula1>Settings!$K$4:$K$7</formula1>
      <formula2>0</formula2>
    </dataValidation>
    <dataValidation allowBlank="true" error="Choose a value from the list." errorStyle="stop" errorTitle="Invalid value" operator="between" prompt="Select from the approved reference list." promptTitle="Dropdown" showDropDown="false" showErrorMessage="false" showInputMessage="false" sqref="V2:V211" type="list">
      <formula1>Settings!$M$4:$M$10</formula1>
      <formula2>0</formula2>
    </dataValidation>
    <dataValidation allowBlank="true" error="Choose a value from the list." errorStyle="stop" errorTitle="Invalid value" operator="between" prompt="Select from the approved reference list." promptTitle="Dropdown" showDropDown="false" showErrorMessage="false" showInputMessage="false" sqref="Y2:Y211" type="list">
      <formula1>Settings!$N$4:$N$20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5E942D-9B16-4AE5-A7C4-3620E1D649B0}">
            <x14:dataBar minLength="10" maxLength="90" axisPosition="none" gradient="true">
              <x14:cfvo type="min"/>
              <x14:cfvo type="max"/>
              <x14:negativeFillColor rgb="FF5B9BD5"/>
              <x14:axisColor rgb="FF000000"/>
            </x14:dataBar>
          </x14:cfRule>
          <x14:cfRule type="dataBar" id="{DEAA804A-8514-409E-A533-1C99F733634D}">
            <x14:dataBar minLength="10" maxLength="90" axisPosition="none" gradient="true">
              <x14:cfvo type="min"/>
              <x14:cfvo type="max"/>
              <x14:negativeFillColor rgb="FF5B9BD5"/>
              <x14:axisColor rgb="FF000000"/>
            </x14:dataBar>
          </x14:cfRule>
          <xm:sqref>F2:F211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83203125" defaultRowHeight="15" customHeight="false" zeroHeight="false" outlineLevelRow="0" outlineLevelCol="0"/>
  <cols>
    <col collapsed="false" customWidth="true" hidden="false" outlineLevel="0" max="8" min="1" style="0" width="22"/>
    <col collapsed="false" customWidth="true" hidden="false" outlineLevel="0" max="11" min="10" style="0" width="16"/>
    <col collapsed="false" customWidth="true" hidden="false" outlineLevel="0" max="12" min="12" style="0" width="28"/>
    <col collapsed="false" customWidth="true" hidden="false" outlineLevel="0" max="13" min="13" style="0" width="22"/>
    <col collapsed="false" customWidth="true" hidden="false" outlineLevel="0" max="14" min="14" style="0" width="18"/>
  </cols>
  <sheetData>
    <row r="1" customFormat="false" ht="21" hidden="false" customHeight="true" outlineLevel="0" collapsed="false">
      <c r="A1" s="54" t="s">
        <v>124</v>
      </c>
      <c r="B1" s="54"/>
      <c r="C1" s="54"/>
      <c r="D1" s="54"/>
    </row>
    <row r="3" customFormat="false" ht="15" hidden="false" customHeight="false" outlineLevel="0" collapsed="false">
      <c r="A3" s="55" t="s">
        <v>125</v>
      </c>
      <c r="B3" s="55" t="s">
        <v>126</v>
      </c>
      <c r="D3" s="55" t="s">
        <v>127</v>
      </c>
      <c r="F3" s="55" t="s">
        <v>128</v>
      </c>
      <c r="H3" s="55" t="s">
        <v>65</v>
      </c>
      <c r="J3" s="55" t="s">
        <v>76</v>
      </c>
      <c r="K3" s="55" t="s">
        <v>79</v>
      </c>
      <c r="L3" s="55" t="s">
        <v>75</v>
      </c>
      <c r="M3" s="55" t="s">
        <v>129</v>
      </c>
      <c r="N3" s="55" t="s">
        <v>83</v>
      </c>
    </row>
    <row r="4" customFormat="false" ht="15" hidden="false" customHeight="false" outlineLevel="0" collapsed="false">
      <c r="A4" s="0" t="s">
        <v>130</v>
      </c>
      <c r="B4" s="56" t="n">
        <v>46187</v>
      </c>
      <c r="D4" s="0" t="s">
        <v>9</v>
      </c>
      <c r="F4" s="0" t="s">
        <v>38</v>
      </c>
      <c r="H4" s="0" t="s">
        <v>57</v>
      </c>
      <c r="J4" s="0" t="s">
        <v>131</v>
      </c>
      <c r="K4" s="0" t="s">
        <v>132</v>
      </c>
      <c r="L4" s="0" t="s">
        <v>133</v>
      </c>
      <c r="N4" s="0" t="s">
        <v>89</v>
      </c>
    </row>
    <row r="5" customFormat="false" ht="15" hidden="false" customHeight="false" outlineLevel="0" collapsed="false">
      <c r="A5" s="0" t="s">
        <v>134</v>
      </c>
      <c r="B5" s="0" t="n">
        <v>3</v>
      </c>
      <c r="D5" s="0" t="s">
        <v>4</v>
      </c>
      <c r="F5" s="0" t="s">
        <v>40</v>
      </c>
      <c r="H5" s="0" t="s">
        <v>55</v>
      </c>
      <c r="J5" s="0" t="s">
        <v>87</v>
      </c>
      <c r="K5" s="0" t="s">
        <v>135</v>
      </c>
      <c r="L5" s="0" t="s">
        <v>136</v>
      </c>
      <c r="M5" s="0" t="s">
        <v>137</v>
      </c>
    </row>
    <row r="6" customFormat="false" ht="15" hidden="false" customHeight="false" outlineLevel="0" collapsed="false">
      <c r="A6" s="0" t="s">
        <v>138</v>
      </c>
      <c r="B6" s="0" t="n">
        <v>5</v>
      </c>
      <c r="D6" s="0" t="s">
        <v>10</v>
      </c>
      <c r="F6" s="0" t="s">
        <v>42</v>
      </c>
      <c r="H6" s="0" t="s">
        <v>61</v>
      </c>
      <c r="K6" s="0" t="s">
        <v>88</v>
      </c>
      <c r="L6" s="0" t="s">
        <v>139</v>
      </c>
      <c r="M6" s="0" t="s">
        <v>140</v>
      </c>
    </row>
    <row r="7" customFormat="false" ht="15" hidden="false" customHeight="false" outlineLevel="0" collapsed="false">
      <c r="A7" s="0" t="s">
        <v>141</v>
      </c>
      <c r="B7" s="0" t="n">
        <v>1</v>
      </c>
      <c r="D7" s="0" t="s">
        <v>3</v>
      </c>
      <c r="F7" s="0" t="s">
        <v>44</v>
      </c>
      <c r="K7" s="0" t="s">
        <v>142</v>
      </c>
      <c r="L7" s="0" t="s">
        <v>143</v>
      </c>
      <c r="M7" s="0" t="s">
        <v>144</v>
      </c>
    </row>
    <row r="8" customFormat="false" ht="15" hidden="false" customHeight="false" outlineLevel="0" collapsed="false">
      <c r="A8" s="0" t="s">
        <v>145</v>
      </c>
      <c r="B8" s="0" t="n">
        <v>10</v>
      </c>
      <c r="D8" s="0" t="s">
        <v>146</v>
      </c>
      <c r="L8" s="0" t="s">
        <v>147</v>
      </c>
      <c r="M8" s="0" t="s">
        <v>148</v>
      </c>
    </row>
    <row r="9" customFormat="false" ht="15" hidden="false" customHeight="false" outlineLevel="0" collapsed="false">
      <c r="A9" s="0" t="s">
        <v>149</v>
      </c>
      <c r="B9" s="0" t="n">
        <v>15</v>
      </c>
      <c r="L9" s="0" t="s">
        <v>150</v>
      </c>
      <c r="M9" s="0" t="s">
        <v>151</v>
      </c>
    </row>
    <row r="10" customFormat="false" ht="15" hidden="false" customHeight="false" outlineLevel="0" collapsed="false">
      <c r="A10" s="0" t="s">
        <v>152</v>
      </c>
      <c r="B10" s="0" t="n">
        <v>20</v>
      </c>
      <c r="L10" s="0" t="s">
        <v>153</v>
      </c>
      <c r="M10" s="0" t="s">
        <v>154</v>
      </c>
    </row>
    <row r="11" customFormat="false" ht="15" hidden="false" customHeight="false" outlineLevel="0" collapsed="false">
      <c r="A11" s="0" t="s">
        <v>155</v>
      </c>
      <c r="B11" s="0" t="n">
        <v>2</v>
      </c>
    </row>
    <row r="12" customFormat="false" ht="15" hidden="false" customHeight="false" outlineLevel="0" collapsed="false">
      <c r="A12" s="0" t="s">
        <v>156</v>
      </c>
      <c r="B12" s="0" t="n">
        <v>1</v>
      </c>
    </row>
  </sheetData>
  <mergeCells count="1">
    <mergeCell ref="A1:D1"/>
  </mergeCells>
  <dataValidations count="1">
    <dataValidation allowBlank="false" errorStyle="stop" operator="between" showDropDown="false" showErrorMessage="false" showInputMessage="false" sqref="B17" type="list">
      <formula1>"Not Started,In Progress,Completed"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28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7" min="6" style="0" width="18"/>
    <col collapsed="false" customWidth="true" hidden="false" outlineLevel="0" max="8" min="8" style="0" width="16"/>
    <col collapsed="false" customWidth="true" hidden="false" outlineLevel="0" max="9" min="9" style="0" width="42"/>
    <col collapsed="false" customWidth="true" hidden="false" outlineLevel="0" max="10" min="10" style="0" width="30"/>
    <col collapsed="false" customWidth="true" hidden="false" outlineLevel="0" max="11" min="11" style="0" width="24"/>
    <col collapsed="false" customWidth="true" hidden="false" outlineLevel="0" max="12" min="12" style="0" width="12"/>
    <col collapsed="false" customWidth="true" hidden="false" outlineLevel="0" max="13" min="13" style="0" width="16"/>
  </cols>
  <sheetData>
    <row r="1" customFormat="false" ht="15" hidden="false" customHeight="false" outlineLevel="0" collapsed="false">
      <c r="A1" s="40" t="s">
        <v>157</v>
      </c>
      <c r="B1" s="40" t="s">
        <v>73</v>
      </c>
      <c r="C1" s="40" t="s">
        <v>158</v>
      </c>
      <c r="D1" s="40" t="s">
        <v>17</v>
      </c>
      <c r="E1" s="40" t="s">
        <v>159</v>
      </c>
      <c r="F1" s="40" t="s">
        <v>83</v>
      </c>
      <c r="G1" s="40" t="s">
        <v>160</v>
      </c>
      <c r="H1" s="40" t="s">
        <v>161</v>
      </c>
      <c r="I1" s="40" t="s">
        <v>162</v>
      </c>
      <c r="J1" s="40" t="s">
        <v>163</v>
      </c>
      <c r="K1" s="40" t="s">
        <v>75</v>
      </c>
      <c r="L1" s="40" t="s">
        <v>164</v>
      </c>
      <c r="M1" s="40" t="s">
        <v>165</v>
      </c>
    </row>
    <row r="2" customFormat="false" ht="15" hidden="false" customHeight="false" outlineLevel="0" collapsed="false">
      <c r="A2" s="41" t="s">
        <v>166</v>
      </c>
      <c r="B2" s="41" t="s">
        <v>86</v>
      </c>
      <c r="C2" s="41" t="s">
        <v>167</v>
      </c>
      <c r="D2" s="41" t="s">
        <v>22</v>
      </c>
      <c r="E2" s="45" t="n">
        <v>46233.4534722222</v>
      </c>
      <c r="F2" s="42" t="s">
        <v>89</v>
      </c>
      <c r="G2" s="43" t="s">
        <v>9</v>
      </c>
      <c r="H2" s="43" t="s">
        <v>4</v>
      </c>
      <c r="I2" s="43" t="s">
        <v>168</v>
      </c>
      <c r="J2" s="43" t="s">
        <v>169</v>
      </c>
      <c r="K2" s="41" t="s">
        <v>136</v>
      </c>
      <c r="L2" s="41" t="s">
        <v>87</v>
      </c>
      <c r="M2" s="57"/>
    </row>
  </sheetData>
  <autoFilter ref="A1:M2"/>
  <dataValidations count="3">
    <dataValidation allowBlank="true" error="Choose a value from the list." errorStyle="stop" errorTitle="Invalid value" operator="between" prompt="Select from the approved reference list." promptTitle="Dropdown" showDropDown="false" showErrorMessage="false" showInputMessage="false" sqref="F2:F1000" type="list">
      <formula1>Settings!$N$4:$N$20</formula1>
      <formula2>0</formula2>
    </dataValidation>
    <dataValidation allowBlank="true" error="Choose a value from the list." errorStyle="stop" errorTitle="Invalid value" operator="between" prompt="Select from the approved reference list." promptTitle="Dropdown" showDropDown="false" showErrorMessage="false" showInputMessage="false" sqref="K2:K1000" type="list">
      <formula1>Settings!$L$4:$L$10</formula1>
      <formula2>0</formula2>
    </dataValidation>
    <dataValidation allowBlank="true" error="Choose a value from the list." errorStyle="stop" errorTitle="Invalid value" operator="between" prompt="Select from the approved reference list." promptTitle="Dropdown" showDropDown="false" showErrorMessage="false" showInputMessage="false" sqref="L2:L1000" type="list">
      <formula1>Settings!$J$4:$J$5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2026-07-29T13:46:46Z</dcterms:created>
  <dc:creator>openpyxl</dc:creator>
  <dc:description/>
  <dc:language>en-US</dc:language>
  <cp:lastModifiedBy>MacBook Pro</cp:lastModifiedBy>
  <dcterms:modified xsi:type="dcterms:W3CDTF">2026-07-30T07:59:44Z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