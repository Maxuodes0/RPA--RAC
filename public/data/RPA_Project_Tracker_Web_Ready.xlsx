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halidAlharbi\Desktop\"/>
    </mc:Choice>
  </mc:AlternateContent>
  <xr:revisionPtr revIDLastSave="0" documentId="13_ncr:1_{F4EE40E6-6516-40E2-8B9D-F73DFDE5D16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shboard" sheetId="4" r:id="rId1"/>
    <sheet name="Process Summary" sheetId="3" r:id="rId2"/>
    <sheet name="Project Tracker" sheetId="1" r:id="rId3"/>
    <sheet name="Settings" sheetId="2" r:id="rId4"/>
  </sheets>
  <externalReferences>
    <externalReference r:id="rId5"/>
  </externalReferences>
  <definedNames>
    <definedName name="_xlnm._FilterDatabase" localSheetId="1" hidden="1">'Process Summary'!$A$1:$J$33</definedName>
    <definedName name="_xlnm._FilterDatabase" localSheetId="2" hidden="1">'Project Tracker'!$A$12:$Z$222</definedName>
    <definedName name="BlockedList">[1]Settings!$J$4:$J$5</definedName>
    <definedName name="DepartmentList">[1]Settings!$M$4:$M$10</definedName>
    <definedName name="PriorityList">[1]Settings!$K$4:$K$7</definedName>
    <definedName name="UpdatedByList">[1]Settings!$N$4:$N$20</definedName>
    <definedName name="WaitingForList">[1]Settings!$L$4:$L$10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Q2" i="1"/>
  <c r="P2" i="1"/>
  <c r="P7" i="1"/>
  <c r="Q7" i="1"/>
  <c r="T9" i="1"/>
  <c r="U9" i="1" s="1"/>
  <c r="T8" i="1"/>
  <c r="T10" i="1"/>
  <c r="U10" i="1" s="1"/>
  <c r="T6" i="1"/>
  <c r="U6" i="1" s="1"/>
  <c r="T5" i="1"/>
  <c r="U5" i="1" s="1"/>
  <c r="T4" i="1"/>
  <c r="U4" i="1" s="1"/>
  <c r="T3" i="1"/>
  <c r="U3" i="1" s="1"/>
  <c r="T11" i="1"/>
  <c r="U11" i="1" s="1"/>
  <c r="O11" i="1"/>
  <c r="O10" i="1"/>
  <c r="O9" i="1"/>
  <c r="O8" i="1"/>
  <c r="O6" i="1"/>
  <c r="O5" i="1"/>
  <c r="O4" i="1"/>
  <c r="O3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 s="1"/>
  <c r="G36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62" i="1"/>
  <c r="G69" i="1"/>
  <c r="G70" i="1" s="1"/>
  <c r="G71" i="1"/>
  <c r="G72" i="1"/>
  <c r="G76" i="1"/>
  <c r="G79" i="1"/>
  <c r="G80" i="1"/>
  <c r="G81" i="1"/>
  <c r="G82" i="1"/>
  <c r="G83" i="1"/>
  <c r="G90" i="1"/>
  <c r="G97" i="1"/>
  <c r="G100" i="1" s="1"/>
  <c r="G101" i="1"/>
  <c r="G102" i="1"/>
  <c r="G103" i="1"/>
  <c r="G104" i="1"/>
  <c r="G111" i="1"/>
  <c r="G114" i="1"/>
  <c r="G115" i="1"/>
  <c r="G116" i="1"/>
  <c r="G117" i="1"/>
  <c r="G118" i="1"/>
  <c r="G119" i="1" s="1"/>
  <c r="G120" i="1"/>
  <c r="G121" i="1"/>
  <c r="G122" i="1"/>
  <c r="G123" i="1"/>
  <c r="G124" i="1"/>
  <c r="G125" i="1"/>
  <c r="G129" i="1"/>
  <c r="G130" i="1"/>
  <c r="G131" i="1"/>
  <c r="G132" i="1"/>
  <c r="G139" i="1"/>
  <c r="G145" i="1" s="1"/>
  <c r="G146" i="1"/>
  <c r="G149" i="1" s="1"/>
  <c r="G150" i="1"/>
  <c r="G151" i="1"/>
  <c r="G152" i="1"/>
  <c r="G153" i="1"/>
  <c r="G156" i="1" s="1"/>
  <c r="G157" i="1"/>
  <c r="G158" i="1"/>
  <c r="G159" i="1"/>
  <c r="G160" i="1"/>
  <c r="G165" i="1"/>
  <c r="G166" i="1"/>
  <c r="G167" i="1"/>
  <c r="G174" i="1"/>
  <c r="G179" i="1"/>
  <c r="G180" i="1"/>
  <c r="G181" i="1"/>
  <c r="G188" i="1"/>
  <c r="G190" i="1" s="1"/>
  <c r="G189" i="1"/>
  <c r="G191" i="1"/>
  <c r="G192" i="1"/>
  <c r="G193" i="1"/>
  <c r="G194" i="1"/>
  <c r="G195" i="1"/>
  <c r="G196" i="1" s="1"/>
  <c r="G197" i="1"/>
  <c r="G198" i="1"/>
  <c r="G199" i="1"/>
  <c r="G200" i="1"/>
  <c r="G201" i="1"/>
  <c r="G202" i="1"/>
  <c r="G203" i="1"/>
  <c r="G204" i="1"/>
  <c r="G205" i="1"/>
  <c r="G206" i="1"/>
  <c r="G209" i="1"/>
  <c r="G215" i="1" s="1"/>
  <c r="G216" i="1"/>
  <c r="G13" i="1"/>
  <c r="B31" i="4"/>
  <c r="B30" i="4"/>
  <c r="H29" i="4"/>
  <c r="B29" i="4"/>
  <c r="B28" i="4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A6" i="4"/>
  <c r="A3" i="4"/>
  <c r="G7" i="3"/>
  <c r="P34" i="1" s="1"/>
  <c r="P35" i="1" s="1"/>
  <c r="Q35" i="1" s="1"/>
  <c r="G6" i="3"/>
  <c r="P27" i="1" s="1"/>
  <c r="P28" i="1" s="1"/>
  <c r="Q28" i="1" s="1"/>
  <c r="G5" i="3"/>
  <c r="P20" i="1" s="1"/>
  <c r="P21" i="1" s="1"/>
  <c r="Q21" i="1" s="1"/>
  <c r="G4" i="3"/>
  <c r="P13" i="1" s="1"/>
  <c r="P14" i="1" s="1"/>
  <c r="Q14" i="1" s="1"/>
  <c r="O222" i="1"/>
  <c r="O221" i="1"/>
  <c r="O220" i="1"/>
  <c r="O219" i="1"/>
  <c r="O218" i="1"/>
  <c r="O217" i="1"/>
  <c r="S216" i="1"/>
  <c r="R216" i="1"/>
  <c r="I216" i="1"/>
  <c r="O215" i="1"/>
  <c r="O214" i="1"/>
  <c r="O213" i="1"/>
  <c r="O212" i="1"/>
  <c r="O211" i="1"/>
  <c r="O210" i="1"/>
  <c r="S209" i="1"/>
  <c r="R209" i="1"/>
  <c r="I209" i="1"/>
  <c r="O208" i="1"/>
  <c r="O207" i="1"/>
  <c r="O206" i="1"/>
  <c r="O205" i="1"/>
  <c r="O204" i="1"/>
  <c r="O203" i="1"/>
  <c r="S202" i="1"/>
  <c r="R202" i="1"/>
  <c r="I202" i="1"/>
  <c r="O201" i="1"/>
  <c r="O200" i="1"/>
  <c r="O199" i="1"/>
  <c r="O198" i="1"/>
  <c r="O197" i="1"/>
  <c r="O196" i="1"/>
  <c r="S195" i="1"/>
  <c r="R195" i="1"/>
  <c r="I195" i="1"/>
  <c r="O194" i="1"/>
  <c r="O193" i="1"/>
  <c r="O192" i="1"/>
  <c r="O191" i="1"/>
  <c r="O190" i="1"/>
  <c r="O189" i="1"/>
  <c r="S188" i="1"/>
  <c r="R188" i="1"/>
  <c r="I188" i="1"/>
  <c r="O187" i="1"/>
  <c r="O186" i="1"/>
  <c r="O185" i="1"/>
  <c r="O184" i="1"/>
  <c r="O183" i="1"/>
  <c r="O182" i="1"/>
  <c r="S181" i="1"/>
  <c r="R181" i="1"/>
  <c r="I181" i="1"/>
  <c r="O180" i="1"/>
  <c r="O179" i="1"/>
  <c r="O178" i="1"/>
  <c r="O177" i="1"/>
  <c r="O176" i="1"/>
  <c r="O175" i="1"/>
  <c r="S174" i="1"/>
  <c r="R174" i="1"/>
  <c r="I174" i="1"/>
  <c r="O173" i="1"/>
  <c r="O172" i="1"/>
  <c r="O171" i="1"/>
  <c r="O170" i="1"/>
  <c r="O169" i="1"/>
  <c r="O168" i="1"/>
  <c r="S167" i="1"/>
  <c r="R167" i="1"/>
  <c r="I167" i="1"/>
  <c r="O166" i="1"/>
  <c r="O165" i="1"/>
  <c r="O164" i="1"/>
  <c r="O163" i="1"/>
  <c r="O162" i="1"/>
  <c r="O161" i="1"/>
  <c r="S160" i="1"/>
  <c r="R160" i="1"/>
  <c r="I160" i="1"/>
  <c r="O159" i="1"/>
  <c r="O158" i="1"/>
  <c r="O157" i="1"/>
  <c r="O156" i="1"/>
  <c r="O155" i="1"/>
  <c r="O154" i="1"/>
  <c r="S153" i="1"/>
  <c r="R153" i="1"/>
  <c r="I153" i="1"/>
  <c r="O152" i="1"/>
  <c r="O151" i="1"/>
  <c r="O150" i="1"/>
  <c r="O149" i="1"/>
  <c r="O148" i="1"/>
  <c r="O147" i="1"/>
  <c r="S146" i="1"/>
  <c r="R146" i="1"/>
  <c r="I146" i="1"/>
  <c r="O145" i="1"/>
  <c r="O144" i="1"/>
  <c r="O143" i="1"/>
  <c r="O142" i="1"/>
  <c r="O141" i="1"/>
  <c r="O140" i="1"/>
  <c r="S139" i="1"/>
  <c r="R139" i="1"/>
  <c r="I139" i="1"/>
  <c r="O138" i="1"/>
  <c r="O137" i="1"/>
  <c r="O136" i="1"/>
  <c r="O135" i="1"/>
  <c r="O134" i="1"/>
  <c r="O133" i="1"/>
  <c r="S132" i="1"/>
  <c r="R132" i="1"/>
  <c r="I132" i="1"/>
  <c r="O131" i="1"/>
  <c r="O130" i="1"/>
  <c r="O129" i="1"/>
  <c r="O128" i="1"/>
  <c r="O127" i="1"/>
  <c r="O126" i="1"/>
  <c r="S125" i="1"/>
  <c r="R125" i="1"/>
  <c r="I125" i="1"/>
  <c r="O124" i="1"/>
  <c r="O123" i="1"/>
  <c r="O122" i="1"/>
  <c r="O121" i="1"/>
  <c r="O120" i="1"/>
  <c r="O119" i="1"/>
  <c r="S118" i="1"/>
  <c r="R118" i="1"/>
  <c r="I118" i="1"/>
  <c r="O117" i="1"/>
  <c r="O116" i="1"/>
  <c r="O115" i="1"/>
  <c r="O114" i="1"/>
  <c r="O113" i="1"/>
  <c r="O112" i="1"/>
  <c r="S111" i="1"/>
  <c r="R111" i="1"/>
  <c r="I111" i="1"/>
  <c r="O110" i="1"/>
  <c r="O109" i="1"/>
  <c r="O108" i="1"/>
  <c r="O107" i="1"/>
  <c r="O106" i="1"/>
  <c r="O105" i="1"/>
  <c r="S104" i="1"/>
  <c r="R104" i="1"/>
  <c r="I104" i="1"/>
  <c r="O103" i="1"/>
  <c r="O102" i="1"/>
  <c r="O101" i="1"/>
  <c r="O100" i="1"/>
  <c r="O99" i="1"/>
  <c r="O98" i="1"/>
  <c r="S97" i="1"/>
  <c r="R97" i="1"/>
  <c r="I97" i="1"/>
  <c r="O96" i="1"/>
  <c r="O95" i="1"/>
  <c r="O94" i="1"/>
  <c r="O93" i="1"/>
  <c r="O92" i="1"/>
  <c r="O91" i="1"/>
  <c r="S90" i="1"/>
  <c r="R90" i="1"/>
  <c r="I90" i="1"/>
  <c r="O89" i="1"/>
  <c r="O88" i="1"/>
  <c r="O87" i="1"/>
  <c r="O86" i="1"/>
  <c r="O85" i="1"/>
  <c r="O84" i="1"/>
  <c r="S83" i="1"/>
  <c r="R83" i="1"/>
  <c r="I83" i="1"/>
  <c r="O82" i="1"/>
  <c r="O81" i="1"/>
  <c r="O80" i="1"/>
  <c r="O79" i="1"/>
  <c r="O78" i="1"/>
  <c r="O77" i="1"/>
  <c r="S76" i="1"/>
  <c r="R76" i="1"/>
  <c r="I76" i="1"/>
  <c r="O75" i="1"/>
  <c r="O74" i="1"/>
  <c r="O73" i="1"/>
  <c r="O72" i="1"/>
  <c r="O71" i="1"/>
  <c r="O70" i="1"/>
  <c r="S69" i="1"/>
  <c r="R69" i="1"/>
  <c r="I69" i="1"/>
  <c r="O68" i="1"/>
  <c r="O67" i="1"/>
  <c r="O66" i="1"/>
  <c r="O65" i="1"/>
  <c r="O64" i="1"/>
  <c r="O63" i="1"/>
  <c r="S62" i="1"/>
  <c r="I62" i="1"/>
  <c r="O61" i="1"/>
  <c r="O60" i="1"/>
  <c r="O59" i="1"/>
  <c r="O58" i="1"/>
  <c r="O57" i="1"/>
  <c r="O56" i="1"/>
  <c r="S55" i="1"/>
  <c r="R55" i="1"/>
  <c r="I55" i="1"/>
  <c r="O54" i="1"/>
  <c r="O53" i="1"/>
  <c r="O52" i="1"/>
  <c r="O51" i="1"/>
  <c r="O50" i="1"/>
  <c r="O49" i="1"/>
  <c r="S48" i="1"/>
  <c r="R48" i="1"/>
  <c r="I48" i="1"/>
  <c r="O47" i="1"/>
  <c r="O46" i="1"/>
  <c r="O45" i="1"/>
  <c r="O44" i="1"/>
  <c r="O43" i="1"/>
  <c r="O42" i="1"/>
  <c r="S41" i="1"/>
  <c r="R41" i="1"/>
  <c r="I41" i="1"/>
  <c r="O40" i="1"/>
  <c r="O39" i="1"/>
  <c r="O38" i="1"/>
  <c r="O37" i="1"/>
  <c r="O36" i="1"/>
  <c r="O35" i="1"/>
  <c r="S34" i="1"/>
  <c r="R34" i="1"/>
  <c r="I34" i="1"/>
  <c r="O33" i="1"/>
  <c r="O32" i="1"/>
  <c r="O31" i="1"/>
  <c r="O30" i="1"/>
  <c r="O29" i="1"/>
  <c r="O28" i="1"/>
  <c r="S27" i="1"/>
  <c r="R27" i="1"/>
  <c r="I27" i="1"/>
  <c r="O26" i="1"/>
  <c r="O25" i="1"/>
  <c r="O24" i="1"/>
  <c r="O23" i="1"/>
  <c r="O22" i="1"/>
  <c r="O21" i="1"/>
  <c r="S20" i="1"/>
  <c r="R20" i="1"/>
  <c r="I20" i="1"/>
  <c r="O19" i="1"/>
  <c r="O18" i="1"/>
  <c r="O17" i="1"/>
  <c r="O16" i="1"/>
  <c r="O15" i="1"/>
  <c r="O14" i="1"/>
  <c r="S13" i="1"/>
  <c r="R13" i="1"/>
  <c r="I13" i="1"/>
  <c r="O7" i="1" l="1"/>
  <c r="O2" i="1"/>
  <c r="N2" i="1"/>
  <c r="T2" i="1" s="1"/>
  <c r="U2" i="1" s="1"/>
  <c r="N7" i="1"/>
  <c r="T7" i="1" s="1"/>
  <c r="U7" i="1" s="1"/>
  <c r="U8" i="1"/>
  <c r="G77" i="1"/>
  <c r="G78" i="1"/>
  <c r="G112" i="1"/>
  <c r="G113" i="1"/>
  <c r="G126" i="1"/>
  <c r="G127" i="1"/>
  <c r="G128" i="1"/>
  <c r="G135" i="1"/>
  <c r="G136" i="1"/>
  <c r="G137" i="1"/>
  <c r="G138" i="1"/>
  <c r="G175" i="1"/>
  <c r="G176" i="1"/>
  <c r="G177" i="1"/>
  <c r="G178" i="1"/>
  <c r="G186" i="1"/>
  <c r="G187" i="1"/>
  <c r="G73" i="1"/>
  <c r="G74" i="1"/>
  <c r="G75" i="1"/>
  <c r="G133" i="1"/>
  <c r="G134" i="1"/>
  <c r="G163" i="1"/>
  <c r="G164" i="1"/>
  <c r="G170" i="1"/>
  <c r="G171" i="1"/>
  <c r="G172" i="1"/>
  <c r="G173" i="1"/>
  <c r="G56" i="1"/>
  <c r="G57" i="1"/>
  <c r="G58" i="1"/>
  <c r="G59" i="1"/>
  <c r="G182" i="1"/>
  <c r="G183" i="1"/>
  <c r="G184" i="1"/>
  <c r="G185" i="1"/>
  <c r="G208" i="1"/>
  <c r="G207" i="1"/>
  <c r="G14" i="1"/>
  <c r="G15" i="1"/>
  <c r="G16" i="1"/>
  <c r="G17" i="1"/>
  <c r="G18" i="1"/>
  <c r="G19" i="1"/>
  <c r="G37" i="1"/>
  <c r="G38" i="1"/>
  <c r="G39" i="1"/>
  <c r="G40" i="1"/>
  <c r="G61" i="1"/>
  <c r="G60" i="1"/>
  <c r="G63" i="1"/>
  <c r="G66" i="1"/>
  <c r="G64" i="1"/>
  <c r="G65" i="1"/>
  <c r="G67" i="1"/>
  <c r="G68" i="1"/>
  <c r="G89" i="1"/>
  <c r="G88" i="1"/>
  <c r="G87" i="1"/>
  <c r="G86" i="1"/>
  <c r="G85" i="1"/>
  <c r="G84" i="1"/>
  <c r="G93" i="1"/>
  <c r="G91" i="1"/>
  <c r="G94" i="1"/>
  <c r="G96" i="1"/>
  <c r="G95" i="1"/>
  <c r="G92" i="1"/>
  <c r="G99" i="1"/>
  <c r="G98" i="1"/>
  <c r="G108" i="1"/>
  <c r="G107" i="1"/>
  <c r="G106" i="1"/>
  <c r="G105" i="1"/>
  <c r="G109" i="1"/>
  <c r="G110" i="1"/>
  <c r="G141" i="1"/>
  <c r="G142" i="1"/>
  <c r="G144" i="1"/>
  <c r="G140" i="1"/>
  <c r="G143" i="1"/>
  <c r="G147" i="1"/>
  <c r="G148" i="1"/>
  <c r="G154" i="1"/>
  <c r="G155" i="1"/>
  <c r="G162" i="1"/>
  <c r="G161" i="1"/>
  <c r="G168" i="1"/>
  <c r="G169" i="1"/>
  <c r="G214" i="1"/>
  <c r="G211" i="1"/>
  <c r="G212" i="1"/>
  <c r="G210" i="1"/>
  <c r="G213" i="1"/>
  <c r="G217" i="1"/>
  <c r="G219" i="1"/>
  <c r="G220" i="1"/>
  <c r="G221" i="1"/>
  <c r="G218" i="1"/>
  <c r="G222" i="1"/>
  <c r="O153" i="1"/>
  <c r="I154" i="1"/>
  <c r="I157" i="1"/>
  <c r="I155" i="1"/>
  <c r="I159" i="1"/>
  <c r="I158" i="1"/>
  <c r="I156" i="1"/>
  <c r="I222" i="1"/>
  <c r="I221" i="1"/>
  <c r="I220" i="1"/>
  <c r="I219" i="1"/>
  <c r="I218" i="1"/>
  <c r="I217" i="1"/>
  <c r="O216" i="1"/>
  <c r="I215" i="1"/>
  <c r="I212" i="1"/>
  <c r="I214" i="1"/>
  <c r="I210" i="1"/>
  <c r="I213" i="1"/>
  <c r="I211" i="1"/>
  <c r="O209" i="1"/>
  <c r="I205" i="1"/>
  <c r="I204" i="1"/>
  <c r="I203" i="1"/>
  <c r="I208" i="1"/>
  <c r="I207" i="1"/>
  <c r="I206" i="1"/>
  <c r="O202" i="1"/>
  <c r="I201" i="1"/>
  <c r="I198" i="1"/>
  <c r="I200" i="1"/>
  <c r="I196" i="1"/>
  <c r="I197" i="1"/>
  <c r="I199" i="1"/>
  <c r="O195" i="1"/>
  <c r="I189" i="1"/>
  <c r="I191" i="1"/>
  <c r="I193" i="1"/>
  <c r="I194" i="1"/>
  <c r="I192" i="1"/>
  <c r="I190" i="1"/>
  <c r="O188" i="1"/>
  <c r="I187" i="1"/>
  <c r="I182" i="1"/>
  <c r="I186" i="1"/>
  <c r="I185" i="1"/>
  <c r="I183" i="1"/>
  <c r="I184" i="1"/>
  <c r="O181" i="1"/>
  <c r="I176" i="1"/>
  <c r="I175" i="1"/>
  <c r="I177" i="1"/>
  <c r="I178" i="1"/>
  <c r="I179" i="1"/>
  <c r="I180" i="1"/>
  <c r="O174" i="1"/>
  <c r="I173" i="1"/>
  <c r="I172" i="1"/>
  <c r="I171" i="1"/>
  <c r="I170" i="1"/>
  <c r="I168" i="1"/>
  <c r="I169" i="1"/>
  <c r="O167" i="1"/>
  <c r="I161" i="1"/>
  <c r="I165" i="1"/>
  <c r="I166" i="1"/>
  <c r="I164" i="1"/>
  <c r="I163" i="1"/>
  <c r="I162" i="1"/>
  <c r="O160" i="1"/>
  <c r="I148" i="1"/>
  <c r="I147" i="1"/>
  <c r="I152" i="1"/>
  <c r="I151" i="1"/>
  <c r="I150" i="1"/>
  <c r="I149" i="1"/>
  <c r="O146" i="1"/>
  <c r="I144" i="1"/>
  <c r="I143" i="1"/>
  <c r="I145" i="1"/>
  <c r="I142" i="1"/>
  <c r="I141" i="1"/>
  <c r="I140" i="1"/>
  <c r="O139" i="1"/>
  <c r="I135" i="1"/>
  <c r="I138" i="1"/>
  <c r="I137" i="1"/>
  <c r="I136" i="1"/>
  <c r="I134" i="1"/>
  <c r="I133" i="1"/>
  <c r="O132" i="1"/>
  <c r="I127" i="1"/>
  <c r="I128" i="1"/>
  <c r="I129" i="1"/>
  <c r="I126" i="1"/>
  <c r="I130" i="1"/>
  <c r="I131" i="1"/>
  <c r="O125" i="1"/>
  <c r="I120" i="1"/>
  <c r="I119" i="1"/>
  <c r="I124" i="1"/>
  <c r="I123" i="1"/>
  <c r="I122" i="1"/>
  <c r="I121" i="1"/>
  <c r="O118" i="1"/>
  <c r="I116" i="1"/>
  <c r="I117" i="1"/>
  <c r="I112" i="1"/>
  <c r="I113" i="1"/>
  <c r="I114" i="1"/>
  <c r="I115" i="1"/>
  <c r="O111" i="1"/>
  <c r="I106" i="1"/>
  <c r="I105" i="1"/>
  <c r="I110" i="1"/>
  <c r="I109" i="1"/>
  <c r="I108" i="1"/>
  <c r="I107" i="1"/>
  <c r="O104" i="1"/>
  <c r="I103" i="1"/>
  <c r="I99" i="1"/>
  <c r="I102" i="1"/>
  <c r="I98" i="1"/>
  <c r="I101" i="1"/>
  <c r="I100" i="1"/>
  <c r="O97" i="1"/>
  <c r="I91" i="1"/>
  <c r="I96" i="1"/>
  <c r="I95" i="1"/>
  <c r="I94" i="1"/>
  <c r="I93" i="1"/>
  <c r="I92" i="1"/>
  <c r="O90" i="1"/>
  <c r="I86" i="1"/>
  <c r="I87" i="1"/>
  <c r="I88" i="1"/>
  <c r="I89" i="1"/>
  <c r="I85" i="1"/>
  <c r="I84" i="1"/>
  <c r="O83" i="1"/>
  <c r="I78" i="1"/>
  <c r="I77" i="1"/>
  <c r="I81" i="1"/>
  <c r="I82" i="1"/>
  <c r="I80" i="1"/>
  <c r="I79" i="1"/>
  <c r="O76" i="1"/>
  <c r="I71" i="1"/>
  <c r="I73" i="1"/>
  <c r="I70" i="1"/>
  <c r="I74" i="1"/>
  <c r="I75" i="1"/>
  <c r="I72" i="1"/>
  <c r="O69" i="1"/>
  <c r="I67" i="1"/>
  <c r="I63" i="1"/>
  <c r="I65" i="1"/>
  <c r="I68" i="1"/>
  <c r="I64" i="1"/>
  <c r="I66" i="1"/>
  <c r="O62" i="1"/>
  <c r="I59" i="1"/>
  <c r="I60" i="1"/>
  <c r="I61" i="1"/>
  <c r="I58" i="1"/>
  <c r="I57" i="1"/>
  <c r="I56" i="1"/>
  <c r="O55" i="1"/>
  <c r="I49" i="1"/>
  <c r="I53" i="1"/>
  <c r="I52" i="1"/>
  <c r="I51" i="1"/>
  <c r="I50" i="1"/>
  <c r="I54" i="1"/>
  <c r="O48" i="1"/>
  <c r="I47" i="1"/>
  <c r="I43" i="1"/>
  <c r="I46" i="1"/>
  <c r="I45" i="1"/>
  <c r="I44" i="1"/>
  <c r="I42" i="1"/>
  <c r="O41" i="1"/>
  <c r="T35" i="1"/>
  <c r="U35" i="1" s="1"/>
  <c r="P36" i="1"/>
  <c r="Q36" i="1" s="1"/>
  <c r="I39" i="1"/>
  <c r="I38" i="1"/>
  <c r="I40" i="1"/>
  <c r="I37" i="1"/>
  <c r="I35" i="1"/>
  <c r="I36" i="1"/>
  <c r="O34" i="1"/>
  <c r="T28" i="1"/>
  <c r="U28" i="1" s="1"/>
  <c r="P29" i="1"/>
  <c r="Q29" i="1" s="1"/>
  <c r="I28" i="1"/>
  <c r="I32" i="1"/>
  <c r="I31" i="1"/>
  <c r="I30" i="1"/>
  <c r="I29" i="1"/>
  <c r="I33" i="1"/>
  <c r="O27" i="1"/>
  <c r="T21" i="1"/>
  <c r="U21" i="1" s="1"/>
  <c r="P22" i="1"/>
  <c r="Q22" i="1" s="1"/>
  <c r="I21" i="1"/>
  <c r="I22" i="1"/>
  <c r="I23" i="1"/>
  <c r="I26" i="1"/>
  <c r="I25" i="1"/>
  <c r="I24" i="1"/>
  <c r="O20" i="1"/>
  <c r="T14" i="1"/>
  <c r="U14" i="1" s="1"/>
  <c r="P15" i="1"/>
  <c r="Q15" i="1" s="1"/>
  <c r="I17" i="1"/>
  <c r="I15" i="1"/>
  <c r="I14" i="1"/>
  <c r="I16" i="1"/>
  <c r="I18" i="1"/>
  <c r="I19" i="1"/>
  <c r="O13" i="1"/>
  <c r="I24" i="3" l="1"/>
  <c r="N153" i="1"/>
  <c r="D24" i="3" s="1"/>
  <c r="I33" i="3"/>
  <c r="N216" i="1"/>
  <c r="I32" i="3"/>
  <c r="N209" i="1"/>
  <c r="I31" i="3"/>
  <c r="N202" i="1"/>
  <c r="I30" i="3"/>
  <c r="N195" i="1"/>
  <c r="I29" i="3"/>
  <c r="N188" i="1"/>
  <c r="I28" i="3"/>
  <c r="N181" i="1"/>
  <c r="I27" i="3"/>
  <c r="N174" i="1"/>
  <c r="I26" i="3"/>
  <c r="N167" i="1"/>
  <c r="I25" i="3"/>
  <c r="N160" i="1"/>
  <c r="I23" i="3"/>
  <c r="N146" i="1"/>
  <c r="I22" i="3"/>
  <c r="N139" i="1"/>
  <c r="I21" i="3"/>
  <c r="N132" i="1"/>
  <c r="I20" i="3"/>
  <c r="N125" i="1"/>
  <c r="I19" i="3"/>
  <c r="N118" i="1"/>
  <c r="I18" i="3"/>
  <c r="N111" i="1"/>
  <c r="I17" i="3"/>
  <c r="N104" i="1"/>
  <c r="I16" i="3"/>
  <c r="N97" i="1"/>
  <c r="I15" i="3"/>
  <c r="N90" i="1"/>
  <c r="I14" i="3"/>
  <c r="N83" i="1"/>
  <c r="I13" i="3"/>
  <c r="N76" i="1"/>
  <c r="I12" i="3"/>
  <c r="N69" i="1"/>
  <c r="I11" i="3"/>
  <c r="N62" i="1"/>
  <c r="I10" i="3"/>
  <c r="N55" i="1"/>
  <c r="I9" i="3"/>
  <c r="N48" i="1"/>
  <c r="I8" i="3"/>
  <c r="N41" i="1"/>
  <c r="T36" i="1"/>
  <c r="U36" i="1" s="1"/>
  <c r="P37" i="1"/>
  <c r="Q37" i="1" s="1"/>
  <c r="I7" i="3"/>
  <c r="N34" i="1"/>
  <c r="T29" i="1"/>
  <c r="U29" i="1" s="1"/>
  <c r="P30" i="1"/>
  <c r="Q30" i="1" s="1"/>
  <c r="I6" i="3"/>
  <c r="N27" i="1"/>
  <c r="P23" i="1"/>
  <c r="Q23" i="1" s="1"/>
  <c r="T22" i="1"/>
  <c r="U22" i="1" s="1"/>
  <c r="N20" i="1"/>
  <c r="I5" i="3"/>
  <c r="T15" i="1"/>
  <c r="U15" i="1" s="1"/>
  <c r="P16" i="1"/>
  <c r="Q16" i="1" s="1"/>
  <c r="I4" i="3"/>
  <c r="N13" i="1"/>
  <c r="D33" i="3" l="1"/>
  <c r="D32" i="3"/>
  <c r="D31" i="3"/>
  <c r="D30" i="3"/>
  <c r="D29" i="3"/>
  <c r="D28" i="3"/>
  <c r="D27" i="3"/>
  <c r="D26" i="3"/>
  <c r="D25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T37" i="1"/>
  <c r="U37" i="1" s="1"/>
  <c r="P38" i="1"/>
  <c r="Q38" i="1" s="1"/>
  <c r="D7" i="3"/>
  <c r="P31" i="1"/>
  <c r="Q31" i="1" s="1"/>
  <c r="T30" i="1"/>
  <c r="U30" i="1" s="1"/>
  <c r="D6" i="3"/>
  <c r="T23" i="1"/>
  <c r="U23" i="1" s="1"/>
  <c r="P24" i="1"/>
  <c r="Q24" i="1" s="1"/>
  <c r="D5" i="3"/>
  <c r="T16" i="1"/>
  <c r="U16" i="1" s="1"/>
  <c r="P17" i="1"/>
  <c r="Q17" i="1" s="1"/>
  <c r="D4" i="3"/>
  <c r="C30" i="4" l="1"/>
  <c r="C29" i="4"/>
  <c r="C31" i="4"/>
  <c r="T38" i="1"/>
  <c r="U38" i="1" s="1"/>
  <c r="P39" i="1"/>
  <c r="Q39" i="1" s="1"/>
  <c r="P32" i="1"/>
  <c r="Q32" i="1" s="1"/>
  <c r="T31" i="1"/>
  <c r="U31" i="1" s="1"/>
  <c r="P25" i="1"/>
  <c r="Q25" i="1" s="1"/>
  <c r="T24" i="1"/>
  <c r="U24" i="1" s="1"/>
  <c r="T17" i="1"/>
  <c r="U17" i="1" s="1"/>
  <c r="P18" i="1"/>
  <c r="Q18" i="1" s="1"/>
  <c r="O4" i="4"/>
  <c r="O5" i="4"/>
  <c r="O3" i="4"/>
  <c r="G6" i="4"/>
  <c r="A11" i="4"/>
  <c r="D11" i="4"/>
  <c r="C28" i="4"/>
  <c r="O6" i="4"/>
  <c r="G11" i="4"/>
  <c r="P40" i="1" l="1"/>
  <c r="Q40" i="1" s="1"/>
  <c r="T39" i="1"/>
  <c r="U39" i="1" s="1"/>
  <c r="T32" i="1"/>
  <c r="U32" i="1" s="1"/>
  <c r="P33" i="1"/>
  <c r="Q33" i="1" s="1"/>
  <c r="T25" i="1"/>
  <c r="U25" i="1" s="1"/>
  <c r="P26" i="1"/>
  <c r="Q26" i="1" s="1"/>
  <c r="T18" i="1"/>
  <c r="U18" i="1" s="1"/>
  <c r="P19" i="1"/>
  <c r="Q19" i="1" s="1"/>
  <c r="Q34" i="1" l="1"/>
  <c r="T40" i="1"/>
  <c r="U40" i="1" s="1"/>
  <c r="Q27" i="1"/>
  <c r="T33" i="1"/>
  <c r="U33" i="1" s="1"/>
  <c r="T26" i="1"/>
  <c r="U26" i="1" s="1"/>
  <c r="Q20" i="1"/>
  <c r="T19" i="1"/>
  <c r="U19" i="1" s="1"/>
  <c r="Q13" i="1"/>
  <c r="T34" i="1" l="1"/>
  <c r="U34" i="1" s="1"/>
  <c r="J7" i="3" s="1"/>
  <c r="H7" i="3"/>
  <c r="E11" i="3" s="1"/>
  <c r="G11" i="3" s="1"/>
  <c r="P62" i="1" s="1"/>
  <c r="P63" i="1" s="1"/>
  <c r="Q63" i="1" s="1"/>
  <c r="T27" i="1"/>
  <c r="U27" i="1" s="1"/>
  <c r="J6" i="3" s="1"/>
  <c r="H6" i="3"/>
  <c r="E10" i="3" s="1"/>
  <c r="G10" i="3" s="1"/>
  <c r="P55" i="1" s="1"/>
  <c r="P56" i="1" s="1"/>
  <c r="Q56" i="1" s="1"/>
  <c r="T20" i="1"/>
  <c r="U20" i="1" s="1"/>
  <c r="J5" i="3" s="1"/>
  <c r="H5" i="3"/>
  <c r="E8" i="3" s="1"/>
  <c r="G8" i="3" s="1"/>
  <c r="T13" i="1"/>
  <c r="U13" i="1" s="1"/>
  <c r="J4" i="3" s="1"/>
  <c r="H4" i="3"/>
  <c r="T63" i="1" l="1"/>
  <c r="U63" i="1" s="1"/>
  <c r="P64" i="1"/>
  <c r="Q64" i="1" s="1"/>
  <c r="T56" i="1"/>
  <c r="U56" i="1" s="1"/>
  <c r="P57" i="1"/>
  <c r="Q57" i="1" s="1"/>
  <c r="P41" i="1"/>
  <c r="P42" i="1" s="1"/>
  <c r="Q42" i="1" s="1"/>
  <c r="E9" i="3"/>
  <c r="G9" i="3" s="1"/>
  <c r="P48" i="1" s="1"/>
  <c r="P49" i="1" s="1"/>
  <c r="Q49" i="1" s="1"/>
  <c r="T64" i="1" l="1"/>
  <c r="U64" i="1" s="1"/>
  <c r="P65" i="1"/>
  <c r="Q65" i="1" s="1"/>
  <c r="T57" i="1"/>
  <c r="U57" i="1" s="1"/>
  <c r="P58" i="1"/>
  <c r="Q58" i="1" s="1"/>
  <c r="P43" i="1"/>
  <c r="Q43" i="1" s="1"/>
  <c r="T42" i="1"/>
  <c r="U42" i="1" s="1"/>
  <c r="T49" i="1"/>
  <c r="U49" i="1" s="1"/>
  <c r="P50" i="1"/>
  <c r="Q50" i="1" s="1"/>
  <c r="T65" i="1" l="1"/>
  <c r="U65" i="1" s="1"/>
  <c r="P66" i="1"/>
  <c r="Q66" i="1" s="1"/>
  <c r="T58" i="1"/>
  <c r="U58" i="1" s="1"/>
  <c r="P59" i="1"/>
  <c r="Q59" i="1" s="1"/>
  <c r="T43" i="1"/>
  <c r="U43" i="1" s="1"/>
  <c r="P44" i="1"/>
  <c r="Q44" i="1" s="1"/>
  <c r="T50" i="1"/>
  <c r="U50" i="1" s="1"/>
  <c r="P51" i="1"/>
  <c r="Q51" i="1" s="1"/>
  <c r="T66" i="1" l="1"/>
  <c r="U66" i="1" s="1"/>
  <c r="P67" i="1"/>
  <c r="Q67" i="1" s="1"/>
  <c r="T59" i="1"/>
  <c r="U59" i="1" s="1"/>
  <c r="P60" i="1"/>
  <c r="Q60" i="1" s="1"/>
  <c r="P45" i="1"/>
  <c r="Q45" i="1" s="1"/>
  <c r="T44" i="1"/>
  <c r="U44" i="1" s="1"/>
  <c r="T51" i="1"/>
  <c r="U51" i="1" s="1"/>
  <c r="P52" i="1"/>
  <c r="Q52" i="1" s="1"/>
  <c r="T67" i="1" l="1"/>
  <c r="U67" i="1" s="1"/>
  <c r="P68" i="1"/>
  <c r="Q68" i="1" s="1"/>
  <c r="T60" i="1"/>
  <c r="U60" i="1" s="1"/>
  <c r="P61" i="1"/>
  <c r="Q61" i="1" s="1"/>
  <c r="T45" i="1"/>
  <c r="U45" i="1" s="1"/>
  <c r="P46" i="1"/>
  <c r="Q46" i="1" s="1"/>
  <c r="T52" i="1"/>
  <c r="U52" i="1" s="1"/>
  <c r="P53" i="1"/>
  <c r="Q53" i="1" s="1"/>
  <c r="T68" i="1" l="1"/>
  <c r="U68" i="1" s="1"/>
  <c r="Q62" i="1"/>
  <c r="T61" i="1"/>
  <c r="U61" i="1" s="1"/>
  <c r="Q55" i="1"/>
  <c r="T46" i="1"/>
  <c r="U46" i="1" s="1"/>
  <c r="P47" i="1"/>
  <c r="Q47" i="1" s="1"/>
  <c r="T53" i="1"/>
  <c r="U53" i="1" s="1"/>
  <c r="P54" i="1"/>
  <c r="Q54" i="1" s="1"/>
  <c r="T62" i="1" l="1"/>
  <c r="U62" i="1" s="1"/>
  <c r="J11" i="3" s="1"/>
  <c r="H11" i="3"/>
  <c r="E15" i="3" s="1"/>
  <c r="G15" i="3" s="1"/>
  <c r="P90" i="1" s="1"/>
  <c r="P91" i="1" s="1"/>
  <c r="Q91" i="1" s="1"/>
  <c r="T55" i="1"/>
  <c r="U55" i="1" s="1"/>
  <c r="J10" i="3" s="1"/>
  <c r="H10" i="3"/>
  <c r="E14" i="3" s="1"/>
  <c r="G14" i="3" s="1"/>
  <c r="P83" i="1" s="1"/>
  <c r="P84" i="1" s="1"/>
  <c r="Q84" i="1" s="1"/>
  <c r="T47" i="1"/>
  <c r="U47" i="1" s="1"/>
  <c r="Q41" i="1"/>
  <c r="T54" i="1"/>
  <c r="U54" i="1" s="1"/>
  <c r="Q48" i="1"/>
  <c r="T91" i="1" l="1"/>
  <c r="U91" i="1" s="1"/>
  <c r="P92" i="1"/>
  <c r="Q92" i="1" s="1"/>
  <c r="T84" i="1"/>
  <c r="U84" i="1" s="1"/>
  <c r="P85" i="1"/>
  <c r="Q85" i="1" s="1"/>
  <c r="T41" i="1"/>
  <c r="U41" i="1" s="1"/>
  <c r="J8" i="3" s="1"/>
  <c r="H8" i="3"/>
  <c r="T48" i="1"/>
  <c r="U48" i="1" s="1"/>
  <c r="J9" i="3" s="1"/>
  <c r="H9" i="3"/>
  <c r="E13" i="3" s="1"/>
  <c r="G13" i="3" s="1"/>
  <c r="P76" i="1" s="1"/>
  <c r="P77" i="1" s="1"/>
  <c r="Q77" i="1" s="1"/>
  <c r="T92" i="1" l="1"/>
  <c r="U92" i="1" s="1"/>
  <c r="P93" i="1"/>
  <c r="Q93" i="1" s="1"/>
  <c r="T85" i="1"/>
  <c r="U85" i="1" s="1"/>
  <c r="P86" i="1"/>
  <c r="Q86" i="1" s="1"/>
  <c r="E12" i="3"/>
  <c r="G12" i="3" s="1"/>
  <c r="T77" i="1"/>
  <c r="U77" i="1" s="1"/>
  <c r="P78" i="1"/>
  <c r="Q78" i="1" s="1"/>
  <c r="T93" i="1" l="1"/>
  <c r="U93" i="1" s="1"/>
  <c r="P94" i="1"/>
  <c r="Q94" i="1" s="1"/>
  <c r="T86" i="1"/>
  <c r="U86" i="1" s="1"/>
  <c r="P87" i="1"/>
  <c r="Q87" i="1" s="1"/>
  <c r="P69" i="1"/>
  <c r="P70" i="1" s="1"/>
  <c r="Q70" i="1" s="1"/>
  <c r="T78" i="1"/>
  <c r="U78" i="1" s="1"/>
  <c r="P79" i="1"/>
  <c r="Q79" i="1" s="1"/>
  <c r="T94" i="1" l="1"/>
  <c r="U94" i="1" s="1"/>
  <c r="P95" i="1"/>
  <c r="Q95" i="1" s="1"/>
  <c r="T87" i="1"/>
  <c r="U87" i="1" s="1"/>
  <c r="P88" i="1"/>
  <c r="Q88" i="1" s="1"/>
  <c r="T70" i="1"/>
  <c r="U70" i="1" s="1"/>
  <c r="P71" i="1"/>
  <c r="Q71" i="1" s="1"/>
  <c r="T79" i="1"/>
  <c r="U79" i="1" s="1"/>
  <c r="P80" i="1"/>
  <c r="Q80" i="1" s="1"/>
  <c r="T95" i="1" l="1"/>
  <c r="U95" i="1" s="1"/>
  <c r="P96" i="1"/>
  <c r="Q96" i="1" s="1"/>
  <c r="T88" i="1"/>
  <c r="U88" i="1" s="1"/>
  <c r="P89" i="1"/>
  <c r="Q89" i="1" s="1"/>
  <c r="T71" i="1"/>
  <c r="U71" i="1" s="1"/>
  <c r="P72" i="1"/>
  <c r="Q72" i="1" s="1"/>
  <c r="T80" i="1"/>
  <c r="U80" i="1" s="1"/>
  <c r="P81" i="1"/>
  <c r="Q81" i="1" s="1"/>
  <c r="T96" i="1" l="1"/>
  <c r="U96" i="1" s="1"/>
  <c r="Q90" i="1"/>
  <c r="T89" i="1"/>
  <c r="U89" i="1" s="1"/>
  <c r="Q83" i="1"/>
  <c r="T72" i="1"/>
  <c r="U72" i="1" s="1"/>
  <c r="P73" i="1"/>
  <c r="Q73" i="1" s="1"/>
  <c r="T81" i="1"/>
  <c r="U81" i="1" s="1"/>
  <c r="P82" i="1"/>
  <c r="Q82" i="1" s="1"/>
  <c r="T90" i="1" l="1"/>
  <c r="U90" i="1" s="1"/>
  <c r="J15" i="3" s="1"/>
  <c r="H15" i="3"/>
  <c r="E18" i="3" s="1"/>
  <c r="G18" i="3" s="1"/>
  <c r="P111" i="1" s="1"/>
  <c r="P112" i="1" s="1"/>
  <c r="Q112" i="1" s="1"/>
  <c r="T83" i="1"/>
  <c r="U83" i="1" s="1"/>
  <c r="J14" i="3" s="1"/>
  <c r="H14" i="3"/>
  <c r="E17" i="3" s="1"/>
  <c r="G17" i="3" s="1"/>
  <c r="P104" i="1" s="1"/>
  <c r="P105" i="1" s="1"/>
  <c r="Q105" i="1" s="1"/>
  <c r="T73" i="1"/>
  <c r="U73" i="1" s="1"/>
  <c r="P74" i="1"/>
  <c r="Q74" i="1" s="1"/>
  <c r="T82" i="1"/>
  <c r="U82" i="1" s="1"/>
  <c r="Q76" i="1"/>
  <c r="T112" i="1" l="1"/>
  <c r="U112" i="1" s="1"/>
  <c r="P113" i="1"/>
  <c r="Q113" i="1" s="1"/>
  <c r="T105" i="1"/>
  <c r="U105" i="1" s="1"/>
  <c r="P106" i="1"/>
  <c r="Q106" i="1" s="1"/>
  <c r="T74" i="1"/>
  <c r="U74" i="1" s="1"/>
  <c r="P75" i="1"/>
  <c r="Q75" i="1" s="1"/>
  <c r="T76" i="1"/>
  <c r="U76" i="1" s="1"/>
  <c r="J13" i="3" s="1"/>
  <c r="H13" i="3"/>
  <c r="E19" i="3" s="1"/>
  <c r="G19" i="3" s="1"/>
  <c r="P118" i="1" s="1"/>
  <c r="P119" i="1" s="1"/>
  <c r="Q119" i="1" s="1"/>
  <c r="T113" i="1" l="1"/>
  <c r="U113" i="1" s="1"/>
  <c r="P114" i="1"/>
  <c r="Q114" i="1" s="1"/>
  <c r="T106" i="1"/>
  <c r="U106" i="1" s="1"/>
  <c r="P107" i="1"/>
  <c r="Q107" i="1" s="1"/>
  <c r="T75" i="1"/>
  <c r="U75" i="1" s="1"/>
  <c r="Q69" i="1"/>
  <c r="T119" i="1"/>
  <c r="U119" i="1" s="1"/>
  <c r="P120" i="1"/>
  <c r="Q120" i="1" s="1"/>
  <c r="T114" i="1" l="1"/>
  <c r="U114" i="1" s="1"/>
  <c r="P115" i="1"/>
  <c r="Q115" i="1" s="1"/>
  <c r="T107" i="1"/>
  <c r="U107" i="1" s="1"/>
  <c r="P108" i="1"/>
  <c r="Q108" i="1" s="1"/>
  <c r="T69" i="1"/>
  <c r="U69" i="1" s="1"/>
  <c r="J12" i="3" s="1"/>
  <c r="H12" i="3"/>
  <c r="T120" i="1"/>
  <c r="U120" i="1" s="1"/>
  <c r="P121" i="1"/>
  <c r="Q121" i="1" s="1"/>
  <c r="T115" i="1" l="1"/>
  <c r="U115" i="1" s="1"/>
  <c r="P116" i="1"/>
  <c r="Q116" i="1" s="1"/>
  <c r="T108" i="1"/>
  <c r="U108" i="1" s="1"/>
  <c r="P109" i="1"/>
  <c r="Q109" i="1" s="1"/>
  <c r="E16" i="3"/>
  <c r="G16" i="3" s="1"/>
  <c r="T121" i="1"/>
  <c r="U121" i="1" s="1"/>
  <c r="P122" i="1"/>
  <c r="Q122" i="1" s="1"/>
  <c r="T116" i="1" l="1"/>
  <c r="U116" i="1" s="1"/>
  <c r="P117" i="1"/>
  <c r="Q117" i="1" s="1"/>
  <c r="T109" i="1"/>
  <c r="U109" i="1" s="1"/>
  <c r="P110" i="1"/>
  <c r="Q110" i="1" s="1"/>
  <c r="P97" i="1"/>
  <c r="P98" i="1" s="1"/>
  <c r="Q98" i="1" s="1"/>
  <c r="T122" i="1"/>
  <c r="U122" i="1" s="1"/>
  <c r="P123" i="1"/>
  <c r="Q123" i="1" s="1"/>
  <c r="T117" i="1" l="1"/>
  <c r="U117" i="1" s="1"/>
  <c r="Q111" i="1"/>
  <c r="T110" i="1"/>
  <c r="U110" i="1" s="1"/>
  <c r="Q104" i="1"/>
  <c r="T98" i="1"/>
  <c r="U98" i="1" s="1"/>
  <c r="P99" i="1"/>
  <c r="Q99" i="1" s="1"/>
  <c r="T123" i="1"/>
  <c r="U123" i="1" s="1"/>
  <c r="P124" i="1"/>
  <c r="Q124" i="1" s="1"/>
  <c r="T111" i="1" l="1"/>
  <c r="U111" i="1" s="1"/>
  <c r="J18" i="3" s="1"/>
  <c r="H18" i="3"/>
  <c r="E22" i="3" s="1"/>
  <c r="G22" i="3" s="1"/>
  <c r="P139" i="1" s="1"/>
  <c r="P140" i="1" s="1"/>
  <c r="Q140" i="1" s="1"/>
  <c r="T104" i="1"/>
  <c r="U104" i="1" s="1"/>
  <c r="J17" i="3" s="1"/>
  <c r="H17" i="3"/>
  <c r="E21" i="3" s="1"/>
  <c r="G21" i="3" s="1"/>
  <c r="P132" i="1" s="1"/>
  <c r="P133" i="1" s="1"/>
  <c r="Q133" i="1" s="1"/>
  <c r="T99" i="1"/>
  <c r="U99" i="1" s="1"/>
  <c r="P100" i="1"/>
  <c r="Q100" i="1" s="1"/>
  <c r="T124" i="1"/>
  <c r="U124" i="1" s="1"/>
  <c r="Q118" i="1"/>
  <c r="T140" i="1" l="1"/>
  <c r="U140" i="1" s="1"/>
  <c r="P141" i="1"/>
  <c r="Q141" i="1" s="1"/>
  <c r="T133" i="1"/>
  <c r="U133" i="1" s="1"/>
  <c r="P134" i="1"/>
  <c r="Q134" i="1" s="1"/>
  <c r="T100" i="1"/>
  <c r="U100" i="1" s="1"/>
  <c r="P101" i="1"/>
  <c r="Q101" i="1" s="1"/>
  <c r="T118" i="1"/>
  <c r="U118" i="1" s="1"/>
  <c r="J19" i="3" s="1"/>
  <c r="H19" i="3"/>
  <c r="E23" i="3" s="1"/>
  <c r="G23" i="3" s="1"/>
  <c r="P146" i="1" s="1"/>
  <c r="P147" i="1" s="1"/>
  <c r="Q147" i="1" s="1"/>
  <c r="T141" i="1" l="1"/>
  <c r="U141" i="1" s="1"/>
  <c r="P142" i="1"/>
  <c r="Q142" i="1" s="1"/>
  <c r="T134" i="1"/>
  <c r="U134" i="1" s="1"/>
  <c r="P135" i="1"/>
  <c r="Q135" i="1" s="1"/>
  <c r="T101" i="1"/>
  <c r="U101" i="1" s="1"/>
  <c r="P102" i="1"/>
  <c r="Q102" i="1" s="1"/>
  <c r="T147" i="1"/>
  <c r="U147" i="1" s="1"/>
  <c r="P148" i="1"/>
  <c r="Q148" i="1" s="1"/>
  <c r="T142" i="1" l="1"/>
  <c r="U142" i="1" s="1"/>
  <c r="P143" i="1"/>
  <c r="Q143" i="1" s="1"/>
  <c r="T135" i="1"/>
  <c r="U135" i="1" s="1"/>
  <c r="P136" i="1"/>
  <c r="Q136" i="1" s="1"/>
  <c r="T102" i="1"/>
  <c r="U102" i="1" s="1"/>
  <c r="P103" i="1"/>
  <c r="Q103" i="1" s="1"/>
  <c r="T148" i="1"/>
  <c r="U148" i="1" s="1"/>
  <c r="P149" i="1"/>
  <c r="Q149" i="1" s="1"/>
  <c r="T143" i="1" l="1"/>
  <c r="U143" i="1" s="1"/>
  <c r="P144" i="1"/>
  <c r="Q144" i="1" s="1"/>
  <c r="T136" i="1"/>
  <c r="U136" i="1" s="1"/>
  <c r="P137" i="1"/>
  <c r="Q137" i="1" s="1"/>
  <c r="T103" i="1"/>
  <c r="U103" i="1" s="1"/>
  <c r="Q97" i="1"/>
  <c r="T149" i="1"/>
  <c r="U149" i="1" s="1"/>
  <c r="P150" i="1"/>
  <c r="Q150" i="1" s="1"/>
  <c r="T144" i="1" l="1"/>
  <c r="U144" i="1" s="1"/>
  <c r="P145" i="1"/>
  <c r="Q145" i="1" s="1"/>
  <c r="T137" i="1"/>
  <c r="U137" i="1" s="1"/>
  <c r="P138" i="1"/>
  <c r="Q138" i="1" s="1"/>
  <c r="T97" i="1"/>
  <c r="U97" i="1" s="1"/>
  <c r="J16" i="3" s="1"/>
  <c r="H16" i="3"/>
  <c r="T150" i="1"/>
  <c r="U150" i="1" s="1"/>
  <c r="P151" i="1"/>
  <c r="Q151" i="1" s="1"/>
  <c r="T145" i="1" l="1"/>
  <c r="U145" i="1" s="1"/>
  <c r="Q139" i="1"/>
  <c r="T138" i="1"/>
  <c r="U138" i="1" s="1"/>
  <c r="Q132" i="1"/>
  <c r="E20" i="3"/>
  <c r="G20" i="3" s="1"/>
  <c r="T151" i="1"/>
  <c r="U151" i="1" s="1"/>
  <c r="P152" i="1"/>
  <c r="Q152" i="1" s="1"/>
  <c r="T139" i="1" l="1"/>
  <c r="U139" i="1" s="1"/>
  <c r="J22" i="3" s="1"/>
  <c r="H22" i="3"/>
  <c r="E26" i="3" s="1"/>
  <c r="G26" i="3" s="1"/>
  <c r="P167" i="1" s="1"/>
  <c r="P168" i="1" s="1"/>
  <c r="Q168" i="1" s="1"/>
  <c r="T132" i="1"/>
  <c r="U132" i="1" s="1"/>
  <c r="J21" i="3" s="1"/>
  <c r="H21" i="3"/>
  <c r="E25" i="3" s="1"/>
  <c r="G25" i="3" s="1"/>
  <c r="P160" i="1" s="1"/>
  <c r="P161" i="1" s="1"/>
  <c r="Q161" i="1" s="1"/>
  <c r="P125" i="1"/>
  <c r="P126" i="1" s="1"/>
  <c r="Q126" i="1" s="1"/>
  <c r="T152" i="1"/>
  <c r="U152" i="1" s="1"/>
  <c r="Q146" i="1"/>
  <c r="T168" i="1" l="1"/>
  <c r="U168" i="1" s="1"/>
  <c r="P169" i="1"/>
  <c r="Q169" i="1" s="1"/>
  <c r="T161" i="1"/>
  <c r="U161" i="1" s="1"/>
  <c r="P162" i="1"/>
  <c r="Q162" i="1" s="1"/>
  <c r="T126" i="1"/>
  <c r="U126" i="1" s="1"/>
  <c r="P127" i="1"/>
  <c r="Q127" i="1" s="1"/>
  <c r="T146" i="1"/>
  <c r="U146" i="1" s="1"/>
  <c r="J23" i="3" s="1"/>
  <c r="H23" i="3"/>
  <c r="E27" i="3" s="1"/>
  <c r="G27" i="3" s="1"/>
  <c r="P174" i="1" s="1"/>
  <c r="P175" i="1" s="1"/>
  <c r="Q175" i="1" s="1"/>
  <c r="T169" i="1" l="1"/>
  <c r="U169" i="1" s="1"/>
  <c r="P170" i="1"/>
  <c r="Q170" i="1" s="1"/>
  <c r="T162" i="1"/>
  <c r="U162" i="1" s="1"/>
  <c r="P163" i="1"/>
  <c r="Q163" i="1" s="1"/>
  <c r="T127" i="1"/>
  <c r="U127" i="1" s="1"/>
  <c r="P128" i="1"/>
  <c r="Q128" i="1" s="1"/>
  <c r="T175" i="1"/>
  <c r="U175" i="1" s="1"/>
  <c r="P176" i="1"/>
  <c r="Q176" i="1" s="1"/>
  <c r="T170" i="1" l="1"/>
  <c r="U170" i="1" s="1"/>
  <c r="P171" i="1"/>
  <c r="Q171" i="1" s="1"/>
  <c r="T163" i="1"/>
  <c r="U163" i="1" s="1"/>
  <c r="P164" i="1"/>
  <c r="Q164" i="1" s="1"/>
  <c r="T128" i="1"/>
  <c r="U128" i="1" s="1"/>
  <c r="P129" i="1"/>
  <c r="Q129" i="1" s="1"/>
  <c r="T176" i="1"/>
  <c r="U176" i="1" s="1"/>
  <c r="P177" i="1"/>
  <c r="Q177" i="1" s="1"/>
  <c r="T171" i="1" l="1"/>
  <c r="U171" i="1" s="1"/>
  <c r="P172" i="1"/>
  <c r="Q172" i="1" s="1"/>
  <c r="T164" i="1"/>
  <c r="U164" i="1" s="1"/>
  <c r="P165" i="1"/>
  <c r="Q165" i="1" s="1"/>
  <c r="T129" i="1"/>
  <c r="U129" i="1" s="1"/>
  <c r="P130" i="1"/>
  <c r="Q130" i="1" s="1"/>
  <c r="T177" i="1"/>
  <c r="U177" i="1" s="1"/>
  <c r="P178" i="1"/>
  <c r="Q178" i="1" s="1"/>
  <c r="T172" i="1" l="1"/>
  <c r="U172" i="1" s="1"/>
  <c r="P173" i="1"/>
  <c r="Q173" i="1" s="1"/>
  <c r="T165" i="1"/>
  <c r="U165" i="1" s="1"/>
  <c r="P166" i="1"/>
  <c r="Q166" i="1" s="1"/>
  <c r="T130" i="1"/>
  <c r="U130" i="1" s="1"/>
  <c r="P131" i="1"/>
  <c r="Q131" i="1" s="1"/>
  <c r="T178" i="1"/>
  <c r="U178" i="1" s="1"/>
  <c r="P179" i="1"/>
  <c r="Q179" i="1" s="1"/>
  <c r="T173" i="1" l="1"/>
  <c r="U173" i="1" s="1"/>
  <c r="Q167" i="1"/>
  <c r="T166" i="1"/>
  <c r="U166" i="1" s="1"/>
  <c r="Q160" i="1"/>
  <c r="T131" i="1"/>
  <c r="U131" i="1" s="1"/>
  <c r="Q125" i="1"/>
  <c r="T179" i="1"/>
  <c r="U179" i="1" s="1"/>
  <c r="P180" i="1"/>
  <c r="Q180" i="1" s="1"/>
  <c r="T167" i="1" l="1"/>
  <c r="U167" i="1" s="1"/>
  <c r="J26" i="3" s="1"/>
  <c r="H26" i="3"/>
  <c r="E30" i="3" s="1"/>
  <c r="G30" i="3" s="1"/>
  <c r="P195" i="1" s="1"/>
  <c r="P196" i="1" s="1"/>
  <c r="Q196" i="1" s="1"/>
  <c r="T160" i="1"/>
  <c r="U160" i="1" s="1"/>
  <c r="J25" i="3" s="1"/>
  <c r="H25" i="3"/>
  <c r="E29" i="3" s="1"/>
  <c r="G29" i="3" s="1"/>
  <c r="P188" i="1" s="1"/>
  <c r="P189" i="1" s="1"/>
  <c r="Q189" i="1" s="1"/>
  <c r="T125" i="1"/>
  <c r="U125" i="1" s="1"/>
  <c r="J20" i="3" s="1"/>
  <c r="H20" i="3"/>
  <c r="E24" i="3" s="1"/>
  <c r="G24" i="3" s="1"/>
  <c r="P153" i="1" s="1"/>
  <c r="P154" i="1" s="1"/>
  <c r="Q154" i="1" s="1"/>
  <c r="T180" i="1"/>
  <c r="U180" i="1" s="1"/>
  <c r="Q174" i="1"/>
  <c r="T196" i="1" l="1"/>
  <c r="U196" i="1" s="1"/>
  <c r="P197" i="1"/>
  <c r="Q197" i="1" s="1"/>
  <c r="T189" i="1"/>
  <c r="U189" i="1" s="1"/>
  <c r="P190" i="1"/>
  <c r="Q190" i="1" s="1"/>
  <c r="T154" i="1"/>
  <c r="U154" i="1" s="1"/>
  <c r="P155" i="1"/>
  <c r="Q155" i="1" s="1"/>
  <c r="T174" i="1"/>
  <c r="U174" i="1" s="1"/>
  <c r="J27" i="3" s="1"/>
  <c r="H27" i="3"/>
  <c r="E31" i="3" s="1"/>
  <c r="G31" i="3" s="1"/>
  <c r="P202" i="1" s="1"/>
  <c r="P203" i="1" s="1"/>
  <c r="Q203" i="1" s="1"/>
  <c r="T197" i="1" l="1"/>
  <c r="U197" i="1" s="1"/>
  <c r="P198" i="1"/>
  <c r="Q198" i="1" s="1"/>
  <c r="T190" i="1"/>
  <c r="U190" i="1" s="1"/>
  <c r="P191" i="1"/>
  <c r="Q191" i="1" s="1"/>
  <c r="T155" i="1"/>
  <c r="U155" i="1" s="1"/>
  <c r="P156" i="1"/>
  <c r="Q156" i="1" s="1"/>
  <c r="T203" i="1"/>
  <c r="U203" i="1" s="1"/>
  <c r="P204" i="1"/>
  <c r="Q204" i="1" s="1"/>
  <c r="T198" i="1" l="1"/>
  <c r="U198" i="1" s="1"/>
  <c r="P199" i="1"/>
  <c r="Q199" i="1" s="1"/>
  <c r="T191" i="1"/>
  <c r="U191" i="1" s="1"/>
  <c r="P192" i="1"/>
  <c r="Q192" i="1" s="1"/>
  <c r="T156" i="1"/>
  <c r="U156" i="1" s="1"/>
  <c r="P157" i="1"/>
  <c r="Q157" i="1" s="1"/>
  <c r="T204" i="1"/>
  <c r="U204" i="1" s="1"/>
  <c r="P205" i="1"/>
  <c r="Q205" i="1" s="1"/>
  <c r="T199" i="1" l="1"/>
  <c r="U199" i="1" s="1"/>
  <c r="P200" i="1"/>
  <c r="Q200" i="1" s="1"/>
  <c r="T192" i="1"/>
  <c r="U192" i="1" s="1"/>
  <c r="P193" i="1"/>
  <c r="Q193" i="1" s="1"/>
  <c r="T157" i="1"/>
  <c r="U157" i="1" s="1"/>
  <c r="P158" i="1"/>
  <c r="Q158" i="1" s="1"/>
  <c r="T205" i="1"/>
  <c r="U205" i="1" s="1"/>
  <c r="P206" i="1"/>
  <c r="Q206" i="1" s="1"/>
  <c r="T200" i="1" l="1"/>
  <c r="U200" i="1" s="1"/>
  <c r="P201" i="1"/>
  <c r="Q201" i="1" s="1"/>
  <c r="T193" i="1"/>
  <c r="U193" i="1" s="1"/>
  <c r="P194" i="1"/>
  <c r="Q194" i="1" s="1"/>
  <c r="T158" i="1"/>
  <c r="U158" i="1" s="1"/>
  <c r="P159" i="1"/>
  <c r="Q159" i="1" s="1"/>
  <c r="T206" i="1"/>
  <c r="U206" i="1" s="1"/>
  <c r="P207" i="1"/>
  <c r="Q207" i="1" s="1"/>
  <c r="T201" i="1" l="1"/>
  <c r="U201" i="1" s="1"/>
  <c r="Q195" i="1"/>
  <c r="T194" i="1"/>
  <c r="U194" i="1" s="1"/>
  <c r="Q188" i="1"/>
  <c r="T159" i="1"/>
  <c r="U159" i="1" s="1"/>
  <c r="Q153" i="1"/>
  <c r="T207" i="1"/>
  <c r="U207" i="1" s="1"/>
  <c r="P208" i="1"/>
  <c r="Q208" i="1" s="1"/>
  <c r="T195" i="1" l="1"/>
  <c r="U195" i="1" s="1"/>
  <c r="J30" i="3" s="1"/>
  <c r="H30" i="3"/>
  <c r="T188" i="1"/>
  <c r="U188" i="1" s="1"/>
  <c r="J29" i="3" s="1"/>
  <c r="H29" i="3"/>
  <c r="E33" i="3" s="1"/>
  <c r="G33" i="3" s="1"/>
  <c r="T153" i="1"/>
  <c r="U153" i="1" s="1"/>
  <c r="J24" i="3" s="1"/>
  <c r="H24" i="3"/>
  <c r="E28" i="3" s="1"/>
  <c r="G28" i="3" s="1"/>
  <c r="P181" i="1" s="1"/>
  <c r="P182" i="1" s="1"/>
  <c r="Q182" i="1" s="1"/>
  <c r="T208" i="1"/>
  <c r="U208" i="1" s="1"/>
  <c r="Q202" i="1"/>
  <c r="P216" i="1" l="1"/>
  <c r="P217" i="1" s="1"/>
  <c r="Q217" i="1" s="1"/>
  <c r="T182" i="1"/>
  <c r="U182" i="1" s="1"/>
  <c r="P183" i="1"/>
  <c r="Q183" i="1" s="1"/>
  <c r="T202" i="1"/>
  <c r="U202" i="1" s="1"/>
  <c r="J31" i="3" s="1"/>
  <c r="H31" i="3"/>
  <c r="T217" i="1" l="1"/>
  <c r="U217" i="1" s="1"/>
  <c r="P218" i="1"/>
  <c r="Q218" i="1" s="1"/>
  <c r="T183" i="1"/>
  <c r="U183" i="1" s="1"/>
  <c r="P184" i="1"/>
  <c r="Q184" i="1" s="1"/>
  <c r="T218" i="1" l="1"/>
  <c r="U218" i="1" s="1"/>
  <c r="P219" i="1"/>
  <c r="Q219" i="1" s="1"/>
  <c r="T184" i="1"/>
  <c r="U184" i="1" s="1"/>
  <c r="P185" i="1"/>
  <c r="Q185" i="1" s="1"/>
  <c r="T219" i="1" l="1"/>
  <c r="U219" i="1" s="1"/>
  <c r="P220" i="1"/>
  <c r="Q220" i="1" s="1"/>
  <c r="T185" i="1"/>
  <c r="U185" i="1" s="1"/>
  <c r="P186" i="1"/>
  <c r="Q186" i="1" s="1"/>
  <c r="T220" i="1" l="1"/>
  <c r="U220" i="1" s="1"/>
  <c r="P221" i="1"/>
  <c r="Q221" i="1" s="1"/>
  <c r="T186" i="1"/>
  <c r="U186" i="1" s="1"/>
  <c r="P187" i="1"/>
  <c r="Q187" i="1" s="1"/>
  <c r="T221" i="1" l="1"/>
  <c r="U221" i="1" s="1"/>
  <c r="P222" i="1"/>
  <c r="Q222" i="1" s="1"/>
  <c r="T187" i="1"/>
  <c r="U187" i="1" s="1"/>
  <c r="Q181" i="1"/>
  <c r="T222" i="1" l="1"/>
  <c r="U222" i="1" s="1"/>
  <c r="Q216" i="1"/>
  <c r="T181" i="1"/>
  <c r="U181" i="1" s="1"/>
  <c r="J28" i="3" s="1"/>
  <c r="H28" i="3"/>
  <c r="E32" i="3" s="1"/>
  <c r="G32" i="3" s="1"/>
  <c r="T216" i="1" l="1"/>
  <c r="U216" i="1" s="1"/>
  <c r="J33" i="3" s="1"/>
  <c r="H33" i="3"/>
  <c r="H27" i="4"/>
  <c r="P209" i="1"/>
  <c r="P210" i="1" s="1"/>
  <c r="Q210" i="1" s="1"/>
  <c r="T210" i="1" l="1"/>
  <c r="U210" i="1" s="1"/>
  <c r="P211" i="1"/>
  <c r="Q211" i="1" s="1"/>
  <c r="T211" i="1" l="1"/>
  <c r="U211" i="1" s="1"/>
  <c r="P212" i="1"/>
  <c r="Q212" i="1" s="1"/>
  <c r="T212" i="1" l="1"/>
  <c r="U212" i="1" s="1"/>
  <c r="P213" i="1"/>
  <c r="Q213" i="1" s="1"/>
  <c r="T213" i="1" l="1"/>
  <c r="U213" i="1" s="1"/>
  <c r="P214" i="1"/>
  <c r="Q214" i="1" s="1"/>
  <c r="T214" i="1" l="1"/>
  <c r="U214" i="1" s="1"/>
  <c r="P215" i="1"/>
  <c r="Q215" i="1" s="1"/>
  <c r="T215" i="1" l="1"/>
  <c r="U215" i="1" s="1"/>
  <c r="Q209" i="1"/>
  <c r="T209" i="1" l="1"/>
  <c r="U209" i="1" s="1"/>
  <c r="J32" i="3" s="1"/>
  <c r="H32" i="3"/>
  <c r="H28" i="4" s="1"/>
  <c r="J6" i="4" l="1"/>
  <c r="J11" i="4"/>
  <c r="H20" i="4"/>
  <c r="I20" i="4" s="1"/>
  <c r="H21" i="4"/>
  <c r="I21" i="4" s="1"/>
  <c r="H30" i="4"/>
  <c r="H19" i="4"/>
  <c r="I19" i="4" s="1"/>
  <c r="H18" i="4"/>
  <c r="I18" i="4" s="1"/>
  <c r="R62" i="1"/>
</calcChain>
</file>

<file path=xl/sharedStrings.xml><?xml version="1.0" encoding="utf-8"?>
<sst xmlns="http://schemas.openxmlformats.org/spreadsheetml/2006/main" count="1517" uniqueCount="178">
  <si>
    <t>Process / Phase</t>
  </si>
  <si>
    <t>Complexity</t>
  </si>
  <si>
    <t>Developer</t>
  </si>
  <si>
    <t>Status ▼</t>
  </si>
  <si>
    <t>Progress</t>
  </si>
  <si>
    <t>Start</t>
  </si>
  <si>
    <t>Finish</t>
  </si>
  <si>
    <t>Variance Days</t>
  </si>
  <si>
    <t>Health</t>
  </si>
  <si>
    <t>Low Process</t>
  </si>
  <si>
    <t>Process Summary</t>
  </si>
  <si>
    <t>Not Started</t>
  </si>
  <si>
    <t>Expired contracts</t>
  </si>
  <si>
    <t>FAR - Fixed Assets Report</t>
  </si>
  <si>
    <t>Asset Lifespan Report</t>
  </si>
  <si>
    <t>AP Invoices</t>
  </si>
  <si>
    <t>Banking Reconciliation</t>
  </si>
  <si>
    <t>Create Contract through SAP</t>
  </si>
  <si>
    <t>KPI: Fleet Efficiency</t>
  </si>
  <si>
    <t>Recurring Advance Payments Related to MATARAT Projects</t>
  </si>
  <si>
    <t>Sourcing Request Files</t>
  </si>
  <si>
    <t>AP Reports</t>
  </si>
  <si>
    <t>Accrued Revenue for Non-Aero and Reversed Non-Aero</t>
  </si>
  <si>
    <t>Aero invoicing posting</t>
  </si>
  <si>
    <t>Candidate Offers Page</t>
  </si>
  <si>
    <t>Invoice Verifications and Processing</t>
  </si>
  <si>
    <t>Job Requisition Requests</t>
  </si>
  <si>
    <t>KPI: Inventory Turnover Ratio</t>
  </si>
  <si>
    <t>KPI: Procurement SLA &amp; Performance Monitoring</t>
  </si>
  <si>
    <t>Monthly and Annual WHT Return</t>
  </si>
  <si>
    <t>Monthly and Annual WHT Return payment</t>
  </si>
  <si>
    <t>Non-Aero invoicing posting</t>
  </si>
  <si>
    <t>RFQ</t>
  </si>
  <si>
    <t>Soft Copy Documents Email</t>
  </si>
  <si>
    <t>Vendor Payment Status Request</t>
  </si>
  <si>
    <t>Leave Requests (Death Leave)</t>
  </si>
  <si>
    <t>Leave Requests (Marriage Leave)</t>
  </si>
  <si>
    <t>Leave Requests (Maternity Leave)</t>
  </si>
  <si>
    <t>Leave Requests (Paternity Leave)</t>
  </si>
  <si>
    <t>Leave Requests (Sick Leave)</t>
  </si>
  <si>
    <t>Linking Purchase Orders with Fixed Assets</t>
  </si>
  <si>
    <t>RPA SETTINGS</t>
  </si>
  <si>
    <t>Setting</t>
  </si>
  <si>
    <t>Value</t>
  </si>
  <si>
    <t>Statuses</t>
  </si>
  <si>
    <t>Developers</t>
  </si>
  <si>
    <t>Project Start</t>
  </si>
  <si>
    <t>Developer 1</t>
  </si>
  <si>
    <t>LOW</t>
  </si>
  <si>
    <t>Assessment Days</t>
  </si>
  <si>
    <t>In Progress</t>
  </si>
  <si>
    <t>Developer 2</t>
  </si>
  <si>
    <t>MEDIUM</t>
  </si>
  <si>
    <t>PDD Share Days</t>
  </si>
  <si>
    <t>On Hold</t>
  </si>
  <si>
    <t>Developer 3</t>
  </si>
  <si>
    <t>HIGH</t>
  </si>
  <si>
    <t>PDD Approve Days</t>
  </si>
  <si>
    <t>Completed</t>
  </si>
  <si>
    <t>Developer 4</t>
  </si>
  <si>
    <t>Development LOW</t>
  </si>
  <si>
    <t>Cancelled</t>
  </si>
  <si>
    <t>Development MEDIUM</t>
  </si>
  <si>
    <t>Development HIGH</t>
  </si>
  <si>
    <t>UAT Days</t>
  </si>
  <si>
    <t>Go Live Days</t>
  </si>
  <si>
    <t>RPA PROCESS SUMMARY</t>
  </si>
  <si>
    <t>Process</t>
  </si>
  <si>
    <t>Complexity ▼</t>
  </si>
  <si>
    <t>Developer ▼</t>
  </si>
  <si>
    <t>Status</t>
  </si>
  <si>
    <t>Auto Start</t>
  </si>
  <si>
    <t>Effective Start</t>
  </si>
  <si>
    <t>RPA PROJECT DASHBOARD</t>
  </si>
  <si>
    <t>Count</t>
  </si>
  <si>
    <t>TOTAL PROCESSES</t>
  </si>
  <si>
    <t>OVERALL PROGRESS</t>
  </si>
  <si>
    <t>COMPLETED</t>
  </si>
  <si>
    <t>DELAYED</t>
  </si>
  <si>
    <t>IN PROGRESS</t>
  </si>
  <si>
    <t>NOT STARTED</t>
  </si>
  <si>
    <t>ON HOLD</t>
  </si>
  <si>
    <t>AT RISK</t>
  </si>
  <si>
    <t>PHASE COMPLETION</t>
  </si>
  <si>
    <t>PROJECT HEALTH</t>
  </si>
  <si>
    <t>Phase</t>
  </si>
  <si>
    <t>Total</t>
  </si>
  <si>
    <t>Completion %</t>
  </si>
  <si>
    <t>% of Scope</t>
  </si>
  <si>
    <t>Assessment</t>
  </si>
  <si>
    <t>Green</t>
  </si>
  <si>
    <t>PDD Share</t>
  </si>
  <si>
    <t>Amber</t>
  </si>
  <si>
    <t>PDD Approve</t>
  </si>
  <si>
    <t>Red</t>
  </si>
  <si>
    <t>Development</t>
  </si>
  <si>
    <t>Gray</t>
  </si>
  <si>
    <t>UAT</t>
  </si>
  <si>
    <t>Go Live</t>
  </si>
  <si>
    <t>DEVELOPER WORKLOAD</t>
  </si>
  <si>
    <t>KEY DATES &amp; EXCEPTIONS</t>
  </si>
  <si>
    <t>Assigned</t>
  </si>
  <si>
    <t>Active</t>
  </si>
  <si>
    <t>Earliest Start</t>
  </si>
  <si>
    <t>Latest Finish</t>
  </si>
  <si>
    <t>Overrides Used</t>
  </si>
  <si>
    <t>Delayed Processes</t>
  </si>
  <si>
    <t xml:space="preserve"> Assessment</t>
  </si>
  <si>
    <t xml:space="preserve"> PDD Share</t>
  </si>
  <si>
    <t xml:space="preserve"> PDD Approve</t>
  </si>
  <si>
    <t xml:space="preserve"> Development</t>
  </si>
  <si>
    <t xml:space="preserve"> UAT</t>
  </si>
  <si>
    <t xml:space="preserve"> Go Live</t>
  </si>
  <si>
    <t xml:space="preserve">Process </t>
  </si>
  <si>
    <t>Start Override▼</t>
  </si>
  <si>
    <t>Actual Finish▼</t>
  </si>
  <si>
    <t>Actual Start▼</t>
  </si>
  <si>
    <t>Responsibility</t>
  </si>
  <si>
    <t>Process ID</t>
  </si>
  <si>
    <t>Current Owner</t>
  </si>
  <si>
    <t>Waiting For</t>
  </si>
  <si>
    <t>Blocked</t>
  </si>
  <si>
    <t>Blocker Description</t>
  </si>
  <si>
    <t>Delay Reason</t>
  </si>
  <si>
    <t>Priority</t>
  </si>
  <si>
    <t>Department</t>
  </si>
  <si>
    <t>Business Owner</t>
  </si>
  <si>
    <t>Last Updated</t>
  </si>
  <si>
    <t>Updated By</t>
  </si>
  <si>
    <t>RPA-001</t>
  </si>
  <si>
    <t>No</t>
  </si>
  <si>
    <t>Medium</t>
  </si>
  <si>
    <t>Project Manager</t>
  </si>
  <si>
    <t>Business Analysis Team – Proven</t>
  </si>
  <si>
    <t>Process Owner – RAC</t>
  </si>
  <si>
    <t>Development Team – Proven</t>
  </si>
  <si>
    <t>Proven Development Team / RAC SME</t>
  </si>
  <si>
    <t>RPA-002</t>
  </si>
  <si>
    <t>RPA-003</t>
  </si>
  <si>
    <t>RPA-004</t>
  </si>
  <si>
    <t>RPA-005</t>
  </si>
  <si>
    <t>RPA-006</t>
  </si>
  <si>
    <t>RPA-007</t>
  </si>
  <si>
    <t>RPA-008</t>
  </si>
  <si>
    <t>RPA-009</t>
  </si>
  <si>
    <t>RPA-010</t>
  </si>
  <si>
    <t>RPA-011</t>
  </si>
  <si>
    <t>RPA-012</t>
  </si>
  <si>
    <t>RPA-013</t>
  </si>
  <si>
    <t>RPA-014</t>
  </si>
  <si>
    <t>RPA-015</t>
  </si>
  <si>
    <t>RPA-016</t>
  </si>
  <si>
    <t>RPA-017</t>
  </si>
  <si>
    <t>RPA-018</t>
  </si>
  <si>
    <t>RPA-019</t>
  </si>
  <si>
    <t>RPA-020</t>
  </si>
  <si>
    <t>RPA-021</t>
  </si>
  <si>
    <t>RPA-022</t>
  </si>
  <si>
    <t>RPA-023</t>
  </si>
  <si>
    <t>RPA-024</t>
  </si>
  <si>
    <t>RPA-025</t>
  </si>
  <si>
    <t>RPA-026</t>
  </si>
  <si>
    <t>RPA-027</t>
  </si>
  <si>
    <t>RPA-028</t>
  </si>
  <si>
    <t>RPA-029</t>
  </si>
  <si>
    <t>RPA-030</t>
  </si>
  <si>
    <t>Next Action</t>
  </si>
  <si>
    <t>Develooment servers</t>
  </si>
  <si>
    <t xml:space="preserve">   Provide servers </t>
  </si>
  <si>
    <t xml:space="preserve">   Team accsses</t>
  </si>
  <si>
    <t xml:space="preserve">   Applicatoin Set up</t>
  </si>
  <si>
    <t xml:space="preserve">   Uipath Platform Access</t>
  </si>
  <si>
    <t xml:space="preserve">Productin servers </t>
  </si>
  <si>
    <t>Task ID</t>
  </si>
  <si>
    <t xml:space="preserve">infiermint </t>
  </si>
  <si>
    <t>infiermint / Phase</t>
  </si>
  <si>
    <t xml:space="preserve">ROI </t>
  </si>
  <si>
    <t>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</si>
</sst>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\-mmm\-yyyy\ hh:mm"/>
  </numFmts>
  <fonts count="2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8"/>
      <color rgb="FFFFFFFF"/>
      <name val="Carlito"/>
    </font>
    <font>
      <b/>
      <sz val="11"/>
      <color rgb="FF9C6500"/>
      <name val="Carlito"/>
    </font>
    <font>
      <sz val="11"/>
      <color rgb="FF666666"/>
      <name val="Carlito"/>
    </font>
    <font>
      <b/>
      <sz val="20"/>
      <color rgb="FFFFFFFF"/>
      <name val="Carlito"/>
    </font>
    <font>
      <i/>
      <sz val="9"/>
      <color rgb="FF667085"/>
      <name val="Carlito"/>
    </font>
    <font>
      <b/>
      <sz val="10"/>
      <color rgb="FF667085"/>
      <name val="Carlito"/>
    </font>
    <font>
      <b/>
      <sz val="25"/>
      <color rgb="FF2563EB"/>
      <name val="Carlito"/>
    </font>
    <font>
      <b/>
      <sz val="25"/>
      <color rgb="FF2E8B57"/>
      <name val="Carlito"/>
    </font>
    <font>
      <b/>
      <sz val="25"/>
      <color rgb="FFC00000"/>
      <name val="Carlito"/>
    </font>
    <font>
      <b/>
      <sz val="25"/>
      <color rgb="FFD97706"/>
      <name val="Carlito"/>
    </font>
    <font>
      <b/>
      <sz val="25"/>
      <color rgb="FF595959"/>
      <name val="Carlito"/>
    </font>
    <font>
      <b/>
      <sz val="25"/>
      <color rgb="FFA61B1B"/>
      <name val="Carlito"/>
    </font>
    <font>
      <b/>
      <sz val="25"/>
      <color rgb="FFB7791F"/>
      <name val="Carlito"/>
    </font>
    <font>
      <b/>
      <sz val="13"/>
      <color rgb="FF17365D"/>
      <name val="Carlito"/>
    </font>
    <font>
      <b/>
      <sz val="11"/>
      <color rgb="FF2E8B57"/>
      <name val="Carlito"/>
    </font>
    <font>
      <b/>
      <sz val="11"/>
      <color rgb="FFD4A017"/>
      <name val="Carlito"/>
    </font>
    <font>
      <b/>
      <sz val="11"/>
      <color rgb="FFC00000"/>
      <name val="Carlito"/>
    </font>
    <font>
      <b/>
      <sz val="11"/>
      <color rgb="FF7F7F7F"/>
      <name val="Carlito"/>
    </font>
    <font>
      <b/>
      <sz val="11"/>
      <color rgb="FF475467"/>
      <name val="Carlito"/>
    </font>
    <font>
      <sz val="1"/>
      <color rgb="FFF6F8FB"/>
      <name val="Carlito"/>
    </font>
    <font>
      <b/>
      <sz val="11"/>
      <color rgb="FFFFFFFF"/>
      <name val="Calibri"/>
    </font>
    <font>
      <sz val="11"/>
      <color rgb="FF17365D"/>
      <name val="Calibri"/>
    </font>
    <font>
      <sz val="11"/>
      <color rgb="FF1F2937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5B9BD5"/>
      </patternFill>
    </fill>
    <fill>
      <patternFill patternType="solid">
        <fgColor rgb="FFE7E6E6"/>
      </patternFill>
    </fill>
    <fill>
      <patternFill patternType="solid">
        <fgColor rgb="FFF6F8FB"/>
      </patternFill>
    </fill>
    <fill>
      <patternFill patternType="solid">
        <fgColor rgb="FFFFFFFF"/>
      </patternFill>
    </fill>
    <fill>
      <patternFill patternType="solid">
        <fgColor rgb="FFF8FBFE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rgb="FFDDEBF7"/>
      </patternFill>
    </fill>
    <fill>
      <patternFill patternType="solid">
        <fgColor rgb="FF2F75B5"/>
        <bgColor indexed="64"/>
      </patternFill>
    </fill>
    <fill>
      <patternFill patternType="solid">
        <fgColor rgb="FF00A6A6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2563EB"/>
      </top>
      <bottom/>
      <diagonal/>
    </border>
    <border>
      <left style="thin">
        <color rgb="FFEAECF0"/>
      </left>
      <right/>
      <top/>
      <bottom/>
      <diagonal/>
    </border>
    <border>
      <left/>
      <right style="thin">
        <color rgb="FFEAECF0"/>
      </right>
      <top/>
      <bottom/>
      <diagonal/>
    </border>
    <border>
      <left style="thin">
        <color rgb="FFEAECF0"/>
      </left>
      <right/>
      <top/>
      <bottom style="thin">
        <color rgb="FFD0D5DD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rgb="FFEAECF0"/>
      </right>
      <top/>
      <bottom style="thin">
        <color rgb="FFD0D5DD"/>
      </bottom>
      <diagonal/>
    </border>
    <border>
      <left/>
      <right/>
      <top style="medium">
        <color rgb="FF2E8B57"/>
      </top>
      <bottom/>
      <diagonal/>
    </border>
    <border>
      <left/>
      <right/>
      <top style="medium">
        <color rgb="FFC00000"/>
      </top>
      <bottom/>
      <diagonal/>
    </border>
    <border>
      <left/>
      <right/>
      <top style="medium">
        <color rgb="FFD97706"/>
      </top>
      <bottom/>
      <diagonal/>
    </border>
    <border>
      <left/>
      <right/>
      <top style="medium">
        <color rgb="FF595959"/>
      </top>
      <bottom/>
      <diagonal/>
    </border>
    <border>
      <left/>
      <right/>
      <top style="medium">
        <color rgb="FFA61B1B"/>
      </top>
      <bottom/>
      <diagonal/>
    </border>
    <border>
      <left/>
      <right/>
      <top style="medium">
        <color rgb="FFB7791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3" borderId="0" xfId="0" applyFont="1" applyFill="1"/>
    <xf numFmtId="164" fontId="0" fillId="0" borderId="0" xfId="0" applyNumberFormat="1"/>
    <xf numFmtId="0" fontId="0" fillId="8" borderId="0" xfId="0" applyFill="1"/>
    <xf numFmtId="0" fontId="2" fillId="6" borderId="0" xfId="0" applyFont="1" applyFill="1" applyAlignment="1">
      <alignment horizontal="center"/>
    </xf>
    <xf numFmtId="9" fontId="0" fillId="8" borderId="0" xfId="0" applyNumberFormat="1" applyFill="1"/>
    <xf numFmtId="0" fontId="18" fillId="8" borderId="0" xfId="0" applyFont="1" applyFill="1"/>
    <xf numFmtId="0" fontId="19" fillId="8" borderId="0" xfId="0" applyFont="1" applyFill="1"/>
    <xf numFmtId="0" fontId="20" fillId="8" borderId="0" xfId="0" applyFont="1" applyFill="1"/>
    <xf numFmtId="0" fontId="21" fillId="8" borderId="0" xfId="0" applyFont="1" applyFill="1"/>
    <xf numFmtId="0" fontId="22" fillId="8" borderId="0" xfId="0" applyFont="1" applyFill="1"/>
    <xf numFmtId="164" fontId="3" fillId="8" borderId="0" xfId="0" applyNumberFormat="1" applyFont="1" applyFill="1"/>
    <xf numFmtId="0" fontId="3" fillId="8" borderId="0" xfId="0" applyFont="1" applyFill="1"/>
    <xf numFmtId="0" fontId="23" fillId="0" borderId="0" xfId="0" applyFont="1"/>
    <xf numFmtId="0" fontId="2" fillId="2" borderId="13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9" fontId="3" fillId="11" borderId="13" xfId="0" applyNumberFormat="1" applyFont="1" applyFill="1" applyBorder="1" applyAlignment="1">
      <alignment horizontal="center" vertical="center"/>
    </xf>
    <xf numFmtId="164" fontId="3" fillId="11" borderId="13" xfId="0" applyNumberFormat="1" applyFont="1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9" fontId="0" fillId="10" borderId="13" xfId="0" applyNumberFormat="1" applyFill="1" applyBorder="1" applyAlignment="1">
      <alignment horizontal="center" vertical="center"/>
    </xf>
    <xf numFmtId="164" fontId="0" fillId="10" borderId="13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6" fillId="7" borderId="13" xfId="0" applyNumberFormat="1" applyFont="1" applyFill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9" fontId="0" fillId="0" borderId="13" xfId="0" applyNumberFormat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64" fontId="0" fillId="12" borderId="13" xfId="0" applyNumberForma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0" fontId="24" fillId="4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vertical="center" wrapText="1"/>
    </xf>
    <xf numFmtId="165" fontId="25" fillId="13" borderId="13" xfId="0" applyNumberFormat="1" applyFont="1" applyFill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13" xfId="0" applyFont="1" applyBorder="1" applyAlignment="1">
      <alignment vertical="center" wrapText="1"/>
    </xf>
    <xf numFmtId="165" fontId="26" fillId="0" borderId="13" xfId="0" applyNumberFormat="1" applyFont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 wrapText="1"/>
    </xf>
    <xf numFmtId="0" fontId="24" fillId="14" borderId="13" xfId="0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 wrapText="1"/>
    </xf>
    <xf numFmtId="0" fontId="2" fillId="16" borderId="13" xfId="0" applyFont="1" applyFill="1" applyBorder="1" applyAlignment="1">
      <alignment horizontal="center" vertical="center" wrapText="1"/>
    </xf>
    <xf numFmtId="0" fontId="24" fillId="17" borderId="13" xfId="0" applyFont="1" applyFill="1" applyBorder="1" applyAlignment="1">
      <alignment horizontal="center" vertical="center"/>
    </xf>
    <xf numFmtId="0" fontId="24" fillId="18" borderId="13" xfId="0" applyFont="1" applyFill="1" applyBorder="1" applyAlignment="1">
      <alignment horizontal="center" vertical="center"/>
    </xf>
    <xf numFmtId="164" fontId="3" fillId="12" borderId="13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right"/>
    </xf>
    <xf numFmtId="0" fontId="9" fillId="9" borderId="1" xfId="0" applyFont="1" applyFill="1" applyBorder="1" applyAlignment="1">
      <alignment horizontal="center"/>
    </xf>
    <xf numFmtId="1" fontId="10" fillId="9" borderId="2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Alignment="1">
      <alignment horizontal="center" vertical="center"/>
    </xf>
    <xf numFmtId="1" fontId="10" fillId="9" borderId="3" xfId="0" applyNumberFormat="1" applyFont="1" applyFill="1" applyBorder="1" applyAlignment="1">
      <alignment horizontal="center" vertical="center"/>
    </xf>
    <xf numFmtId="1" fontId="10" fillId="9" borderId="4" xfId="0" applyNumberFormat="1" applyFont="1" applyFill="1" applyBorder="1" applyAlignment="1">
      <alignment horizontal="center" vertical="center"/>
    </xf>
    <xf numFmtId="1" fontId="10" fillId="9" borderId="5" xfId="0" applyNumberFormat="1" applyFont="1" applyFill="1" applyBorder="1" applyAlignment="1">
      <alignment horizontal="center" vertical="center"/>
    </xf>
    <xf numFmtId="1" fontId="10" fillId="9" borderId="6" xfId="0" applyNumberFormat="1" applyFont="1" applyFill="1" applyBorder="1" applyAlignment="1">
      <alignment horizontal="center" vertical="center"/>
    </xf>
    <xf numFmtId="9" fontId="10" fillId="9" borderId="2" xfId="0" applyNumberFormat="1" applyFont="1" applyFill="1" applyBorder="1" applyAlignment="1">
      <alignment horizontal="center" vertical="center"/>
    </xf>
    <xf numFmtId="9" fontId="10" fillId="9" borderId="0" xfId="0" applyNumberFormat="1" applyFont="1" applyFill="1" applyAlignment="1">
      <alignment horizontal="center" vertical="center"/>
    </xf>
    <xf numFmtId="9" fontId="10" fillId="9" borderId="3" xfId="0" applyNumberFormat="1" applyFont="1" applyFill="1" applyBorder="1" applyAlignment="1">
      <alignment horizontal="center" vertical="center"/>
    </xf>
    <xf numFmtId="9" fontId="10" fillId="9" borderId="4" xfId="0" applyNumberFormat="1" applyFont="1" applyFill="1" applyBorder="1" applyAlignment="1">
      <alignment horizontal="center" vertical="center"/>
    </xf>
    <xf numFmtId="9" fontId="10" fillId="9" borderId="5" xfId="0" applyNumberFormat="1" applyFont="1" applyFill="1" applyBorder="1" applyAlignment="1">
      <alignment horizontal="center" vertical="center"/>
    </xf>
    <xf numFmtId="9" fontId="10" fillId="9" borderId="6" xfId="0" applyNumberFormat="1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/>
    </xf>
    <xf numFmtId="1" fontId="11" fillId="9" borderId="2" xfId="0" applyNumberFormat="1" applyFont="1" applyFill="1" applyBorder="1" applyAlignment="1">
      <alignment horizontal="center" vertical="center"/>
    </xf>
    <xf numFmtId="1" fontId="11" fillId="9" borderId="0" xfId="0" applyNumberFormat="1" applyFont="1" applyFill="1" applyAlignment="1">
      <alignment horizontal="center" vertical="center"/>
    </xf>
    <xf numFmtId="1" fontId="11" fillId="9" borderId="3" xfId="0" applyNumberFormat="1" applyFont="1" applyFill="1" applyBorder="1" applyAlignment="1">
      <alignment horizontal="center" vertical="center"/>
    </xf>
    <xf numFmtId="1" fontId="11" fillId="9" borderId="4" xfId="0" applyNumberFormat="1" applyFont="1" applyFill="1" applyBorder="1" applyAlignment="1">
      <alignment horizontal="center" vertical="center"/>
    </xf>
    <xf numFmtId="1" fontId="11" fillId="9" borderId="5" xfId="0" applyNumberFormat="1" applyFont="1" applyFill="1" applyBorder="1" applyAlignment="1">
      <alignment horizontal="center" vertical="center"/>
    </xf>
    <xf numFmtId="1" fontId="11" fillId="9" borderId="6" xfId="0" applyNumberFormat="1" applyFont="1" applyFill="1" applyBorder="1" applyAlignment="1">
      <alignment horizontal="center" vertical="center"/>
    </xf>
    <xf numFmtId="0" fontId="9" fillId="9" borderId="8" xfId="0" applyFont="1" applyFill="1" applyBorder="1" applyAlignment="1">
      <alignment horizontal="center"/>
    </xf>
    <xf numFmtId="1" fontId="12" fillId="9" borderId="2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Alignment="1">
      <alignment horizontal="center" vertical="center"/>
    </xf>
    <xf numFmtId="1" fontId="12" fillId="9" borderId="3" xfId="0" applyNumberFormat="1" applyFont="1" applyFill="1" applyBorder="1" applyAlignment="1">
      <alignment horizontal="center" vertical="center"/>
    </xf>
    <xf numFmtId="1" fontId="12" fillId="9" borderId="4" xfId="0" applyNumberFormat="1" applyFont="1" applyFill="1" applyBorder="1" applyAlignment="1">
      <alignment horizontal="center" vertical="center"/>
    </xf>
    <xf numFmtId="1" fontId="12" fillId="9" borderId="5" xfId="0" applyNumberFormat="1" applyFont="1" applyFill="1" applyBorder="1" applyAlignment="1">
      <alignment horizontal="center" vertical="center"/>
    </xf>
    <xf numFmtId="1" fontId="12" fillId="9" borderId="6" xfId="0" applyNumberFormat="1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/>
    </xf>
    <xf numFmtId="1" fontId="16" fillId="9" borderId="2" xfId="0" applyNumberFormat="1" applyFont="1" applyFill="1" applyBorder="1" applyAlignment="1">
      <alignment horizontal="center" vertical="center"/>
    </xf>
    <xf numFmtId="1" fontId="16" fillId="9" borderId="0" xfId="0" applyNumberFormat="1" applyFont="1" applyFill="1" applyAlignment="1">
      <alignment horizontal="center" vertical="center"/>
    </xf>
    <xf numFmtId="1" fontId="16" fillId="9" borderId="3" xfId="0" applyNumberFormat="1" applyFont="1" applyFill="1" applyBorder="1" applyAlignment="1">
      <alignment horizontal="center" vertical="center"/>
    </xf>
    <xf numFmtId="1" fontId="16" fillId="9" borderId="4" xfId="0" applyNumberFormat="1" applyFont="1" applyFill="1" applyBorder="1" applyAlignment="1">
      <alignment horizontal="center" vertical="center"/>
    </xf>
    <xf numFmtId="1" fontId="16" fillId="9" borderId="5" xfId="0" applyNumberFormat="1" applyFont="1" applyFill="1" applyBorder="1" applyAlignment="1">
      <alignment horizontal="center" vertical="center"/>
    </xf>
    <xf numFmtId="1" fontId="16" fillId="9" borderId="6" xfId="0" applyNumberFormat="1" applyFont="1" applyFill="1" applyBorder="1" applyAlignment="1">
      <alignment horizontal="center" vertical="center"/>
    </xf>
    <xf numFmtId="0" fontId="17" fillId="5" borderId="0" xfId="0" applyFont="1" applyFill="1"/>
    <xf numFmtId="0" fontId="9" fillId="9" borderId="9" xfId="0" applyFont="1" applyFill="1" applyBorder="1" applyAlignment="1">
      <alignment horizontal="center"/>
    </xf>
    <xf numFmtId="1" fontId="13" fillId="9" borderId="2" xfId="0" applyNumberFormat="1" applyFont="1" applyFill="1" applyBorder="1" applyAlignment="1">
      <alignment horizontal="center" vertical="center"/>
    </xf>
    <xf numFmtId="1" fontId="13" fillId="9" borderId="0" xfId="0" applyNumberFormat="1" applyFont="1" applyFill="1" applyAlignment="1">
      <alignment horizontal="center" vertical="center"/>
    </xf>
    <xf numFmtId="1" fontId="13" fillId="9" borderId="3" xfId="0" applyNumberFormat="1" applyFont="1" applyFill="1" applyBorder="1" applyAlignment="1">
      <alignment horizontal="center" vertical="center"/>
    </xf>
    <xf numFmtId="1" fontId="13" fillId="9" borderId="4" xfId="0" applyNumberFormat="1" applyFont="1" applyFill="1" applyBorder="1" applyAlignment="1">
      <alignment horizontal="center" vertical="center"/>
    </xf>
    <xf numFmtId="1" fontId="13" fillId="9" borderId="5" xfId="0" applyNumberFormat="1" applyFont="1" applyFill="1" applyBorder="1" applyAlignment="1">
      <alignment horizontal="center" vertical="center"/>
    </xf>
    <xf numFmtId="1" fontId="13" fillId="9" borderId="6" xfId="0" applyNumberFormat="1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/>
    </xf>
    <xf numFmtId="1" fontId="14" fillId="9" borderId="2" xfId="0" applyNumberFormat="1" applyFont="1" applyFill="1" applyBorder="1" applyAlignment="1">
      <alignment horizontal="center" vertical="center"/>
    </xf>
    <xf numFmtId="1" fontId="14" fillId="9" borderId="0" xfId="0" applyNumberFormat="1" applyFont="1" applyFill="1" applyAlignment="1">
      <alignment horizontal="center" vertical="center"/>
    </xf>
    <xf numFmtId="1" fontId="14" fillId="9" borderId="3" xfId="0" applyNumberFormat="1" applyFont="1" applyFill="1" applyBorder="1" applyAlignment="1">
      <alignment horizontal="center" vertical="center"/>
    </xf>
    <xf numFmtId="1" fontId="14" fillId="9" borderId="4" xfId="0" applyNumberFormat="1" applyFont="1" applyFill="1" applyBorder="1" applyAlignment="1">
      <alignment horizontal="center" vertical="center"/>
    </xf>
    <xf numFmtId="1" fontId="14" fillId="9" borderId="5" xfId="0" applyNumberFormat="1" applyFont="1" applyFill="1" applyBorder="1" applyAlignment="1">
      <alignment horizontal="center" vertical="center"/>
    </xf>
    <xf numFmtId="1" fontId="14" fillId="9" borderId="6" xfId="0" applyNumberFormat="1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/>
    </xf>
    <xf numFmtId="1" fontId="15" fillId="9" borderId="2" xfId="0" applyNumberFormat="1" applyFont="1" applyFill="1" applyBorder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1" fontId="15" fillId="9" borderId="3" xfId="0" applyNumberFormat="1" applyFont="1" applyFill="1" applyBorder="1" applyAlignment="1">
      <alignment horizontal="center" vertical="center"/>
    </xf>
    <xf numFmtId="1" fontId="15" fillId="9" borderId="4" xfId="0" applyNumberFormat="1" applyFont="1" applyFill="1" applyBorder="1" applyAlignment="1">
      <alignment horizontal="center" vertical="center"/>
    </xf>
    <xf numFmtId="1" fontId="15" fillId="9" borderId="5" xfId="0" applyNumberFormat="1" applyFont="1" applyFill="1" applyBorder="1" applyAlignment="1">
      <alignment horizontal="center" vertical="center"/>
    </xf>
    <xf numFmtId="1" fontId="15" fillId="9" borderId="6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2"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595959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7F6000"/>
      </font>
      <fill>
        <patternFill>
          <bgColor rgb="FFFFE699"/>
        </patternFill>
      </fill>
    </dxf>
    <dxf>
      <font>
        <b/>
        <color rgb="FF375623"/>
      </font>
      <fill>
        <patternFill>
          <bgColor rgb="FFC6E0B4"/>
        </patternFill>
      </fill>
    </dxf>
  </dxfs>
  <tableStyles count="0" defaultTableStyle="TableStyleMedium2" defaultPivotStyle="PivotStyleLight16"/>
  <colors>
    <mruColors>
      <color rgb="FFFFF2CC"/>
      <color rgb="FFEAF2F8"/>
      <color rgb="FF17365D"/>
      <color rgb="FF7030A0"/>
      <color rgb="FFC55A11"/>
      <color rgb="FF548235"/>
      <color rgb="FF00A6A6"/>
      <color rgb="FF2F75B5"/>
      <color rgb="FF7F8FA6"/>
      <color rgb="FFF4B1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update%20excell.xlsx" TargetMode="External"/><Relationship Id="rId2" Type="http://schemas.openxmlformats.org/officeDocument/2006/relationships/externalLinkPath" Target="file:///C:\Users\KhalidAlharbi\Downloads\update%20excell.xlsx" TargetMode="External"/><Relationship Id="rId1" Type="http://schemas.openxmlformats.org/officeDocument/2006/relationships/externalLinkPath" Target="/Users/KhalidAlharbi/Downloads/update%20exc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shboard"/>
      <sheetName val="Process Summary"/>
      <sheetName val="Project Tracker"/>
      <sheetName val="Settings"/>
      <sheetName val="Activity Log"/>
    </sheetNames>
    <sheetDataSet>
      <sheetData sheetId="0"/>
      <sheetData sheetId="1"/>
      <sheetData sheetId="2"/>
      <sheetData sheetId="3">
        <row r="4">
          <cell r="J4" t="str">
            <v>Yes</v>
          </cell>
          <cell r="K4" t="str">
            <v>Critical</v>
          </cell>
          <cell r="L4" t="str">
            <v>RAC Process Owner</v>
          </cell>
          <cell r="M4"/>
          <cell r="N4" t="str">
            <v>Project Manager</v>
          </cell>
        </row>
        <row r="5">
          <cell r="J5" t="str">
            <v>No</v>
          </cell>
          <cell r="K5" t="str">
            <v>High</v>
          </cell>
          <cell r="L5" t="str">
            <v>RAC SME</v>
          </cell>
          <cell r="M5" t="str">
            <v>Department TBD</v>
          </cell>
          <cell r="N5"/>
        </row>
        <row r="6">
          <cell r="K6" t="str">
            <v>Medium</v>
          </cell>
          <cell r="L6" t="str">
            <v>Proven BA Team</v>
          </cell>
          <cell r="M6" t="str">
            <v>Finance</v>
          </cell>
          <cell r="N6"/>
        </row>
        <row r="7">
          <cell r="K7" t="str">
            <v>Low</v>
          </cell>
          <cell r="L7" t="str">
            <v>Proven Development Team</v>
          </cell>
          <cell r="M7" t="str">
            <v>Operations</v>
          </cell>
          <cell r="N7"/>
        </row>
        <row r="8">
          <cell r="L8" t="str">
            <v>Infrastructure Team</v>
          </cell>
          <cell r="M8" t="str">
            <v>IT</v>
          </cell>
          <cell r="N8"/>
        </row>
        <row r="9">
          <cell r="L9" t="str">
            <v>Cybersecurity Team</v>
          </cell>
          <cell r="M9" t="str">
            <v>HR</v>
          </cell>
          <cell r="N9"/>
        </row>
        <row r="10">
          <cell r="L10" t="str">
            <v>Business Team</v>
          </cell>
          <cell r="M10" t="str">
            <v>Procurement</v>
          </cell>
          <cell r="N10"/>
        </row>
        <row r="11">
          <cell r="N11"/>
        </row>
        <row r="12">
          <cell r="N12"/>
        </row>
      </sheetData>
      <sheetData sheetId="4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7"/>
  <sheetViews>
    <sheetView tabSelected="1" zoomScale="71" zoomScaleNormal="71" workbookViewId="0">
      <selection activeCell="D6" sqref="D6:F8"/>
    </sheetView>
  </sheetViews>
  <sheetFormatPr defaultRowHeight="14"/>
  <cols>
    <col min="1" max="1" width="18" customWidth="1"/>
    <col min="2" max="3" width="12" customWidth="1"/>
    <col min="4" max="4" width="14" customWidth="1"/>
    <col min="5" max="6" width="12" customWidth="1"/>
    <col min="7" max="7" width="18" customWidth="1"/>
    <col min="8" max="9" width="13" customWidth="1"/>
    <col min="10" max="12" width="14" customWidth="1"/>
    <col min="14" max="15" width="2" customWidth="1"/>
  </cols>
  <sheetData>
    <row r="1" spans="1:15" ht="14.65" customHeight="1">
      <c r="A1" s="49" t="s">
        <v>73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13"/>
      <c r="O1" s="13"/>
    </row>
    <row r="2" spans="1:15" ht="14.65" customHeight="1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N2" s="13" t="s">
        <v>70</v>
      </c>
      <c r="O2" s="13" t="s">
        <v>74</v>
      </c>
    </row>
    <row r="3" spans="1:15" ht="14.65" customHeight="1">
      <c r="A3" s="50" t="str">
        <f ca="1">"Updated: "&amp;TEXT(TODAY(),"dd/mm/yyyy")</f>
        <v>Updated: 30/07/2026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N3" s="13" t="s">
        <v>58</v>
      </c>
      <c r="O3" s="13">
        <f>COUNTIF('Process Summary'!D4:D33,"Completed")</f>
        <v>0</v>
      </c>
    </row>
    <row r="4" spans="1:15" ht="14.6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N4" s="13" t="s">
        <v>50</v>
      </c>
      <c r="O4" s="13">
        <f>COUNTIF('Process Summary'!D4:D33,"In Progress")</f>
        <v>0</v>
      </c>
    </row>
    <row r="5" spans="1:15" ht="14.65" customHeight="1">
      <c r="A5" s="51" t="s">
        <v>75</v>
      </c>
      <c r="B5" s="51"/>
      <c r="C5" s="51"/>
      <c r="D5" s="51" t="s">
        <v>76</v>
      </c>
      <c r="E5" s="51"/>
      <c r="F5" s="51"/>
      <c r="G5" s="64" t="s">
        <v>77</v>
      </c>
      <c r="H5" s="64"/>
      <c r="I5" s="64"/>
      <c r="J5" s="71" t="s">
        <v>78</v>
      </c>
      <c r="K5" s="71"/>
      <c r="L5" s="71"/>
      <c r="N5" s="13" t="s">
        <v>11</v>
      </c>
      <c r="O5" s="13">
        <f>COUNTIF('Process Summary'!D4:D33,"Not Started")</f>
        <v>30</v>
      </c>
    </row>
    <row r="6" spans="1:15" ht="14.65" customHeight="1">
      <c r="A6" s="52">
        <f>COUNTA('Process Summary'!A4:A33)</f>
        <v>30</v>
      </c>
      <c r="B6" s="53"/>
      <c r="C6" s="54"/>
      <c r="D6" s="58">
        <f>AVERAGE('Process Summary'!I4:I33,'Project Tracker'!O2,'Project Tracker'!O7)</f>
        <v>6.25E-2</v>
      </c>
      <c r="E6" s="59"/>
      <c r="F6" s="60"/>
      <c r="G6" s="65">
        <f>COUNTIF('Process Summary'!D4:D33,"Completed")</f>
        <v>0</v>
      </c>
      <c r="H6" s="66"/>
      <c r="I6" s="67"/>
      <c r="J6" s="72">
        <f ca="1">COUNTIF('Process Summary'!J4:J33,"Red")</f>
        <v>4</v>
      </c>
      <c r="K6" s="73"/>
      <c r="L6" s="74"/>
      <c r="N6" s="13" t="s">
        <v>54</v>
      </c>
      <c r="O6" s="13">
        <f>COUNTIF('Process Summary'!D4:D33,"On Hold")</f>
        <v>0</v>
      </c>
    </row>
    <row r="7" spans="1:15" ht="14.65" customHeight="1">
      <c r="A7" s="52"/>
      <c r="B7" s="53"/>
      <c r="C7" s="54"/>
      <c r="D7" s="58"/>
      <c r="E7" s="59"/>
      <c r="F7" s="60"/>
      <c r="G7" s="65"/>
      <c r="H7" s="66"/>
      <c r="I7" s="67"/>
      <c r="J7" s="72"/>
      <c r="K7" s="73"/>
      <c r="L7" s="74"/>
      <c r="N7" s="13"/>
      <c r="O7" s="13"/>
    </row>
    <row r="8" spans="1:15" ht="14.65" customHeight="1">
      <c r="A8" s="55"/>
      <c r="B8" s="56"/>
      <c r="C8" s="57"/>
      <c r="D8" s="61"/>
      <c r="E8" s="62"/>
      <c r="F8" s="63"/>
      <c r="G8" s="68"/>
      <c r="H8" s="69"/>
      <c r="I8" s="70"/>
      <c r="J8" s="75"/>
      <c r="K8" s="76"/>
      <c r="L8" s="77"/>
      <c r="N8" s="13"/>
      <c r="O8" s="13"/>
    </row>
    <row r="9" spans="1:15" ht="14.6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N9" s="13"/>
      <c r="O9" s="13"/>
    </row>
    <row r="10" spans="1:15" ht="14.65" customHeight="1">
      <c r="A10" s="86" t="s">
        <v>79</v>
      </c>
      <c r="B10" s="86"/>
      <c r="C10" s="86"/>
      <c r="D10" s="93" t="s">
        <v>80</v>
      </c>
      <c r="E10" s="93"/>
      <c r="F10" s="93"/>
      <c r="G10" s="100" t="s">
        <v>81</v>
      </c>
      <c r="H10" s="100"/>
      <c r="I10" s="100"/>
      <c r="J10" s="78" t="s">
        <v>82</v>
      </c>
      <c r="K10" s="78"/>
      <c r="L10" s="78"/>
      <c r="N10" s="13"/>
      <c r="O10" s="13"/>
    </row>
    <row r="11" spans="1:15" ht="14.65" customHeight="1">
      <c r="A11" s="87">
        <f>COUNTIF('Process Summary'!D4:D33,"In Progress")</f>
        <v>0</v>
      </c>
      <c r="B11" s="88"/>
      <c r="C11" s="89"/>
      <c r="D11" s="94">
        <f>COUNTIF('Process Summary'!D4:D33,"Not Started")</f>
        <v>30</v>
      </c>
      <c r="E11" s="95"/>
      <c r="F11" s="96"/>
      <c r="G11" s="101">
        <f>COUNTIF('Process Summary'!D4:D33,"On Hold")</f>
        <v>0</v>
      </c>
      <c r="H11" s="102"/>
      <c r="I11" s="103"/>
      <c r="J11" s="79">
        <f ca="1">COUNTIF('Process Summary'!J4:J33,"Amber")</f>
        <v>0</v>
      </c>
      <c r="K11" s="80"/>
      <c r="L11" s="81"/>
    </row>
    <row r="12" spans="1:15" ht="14.65" customHeight="1">
      <c r="A12" s="87"/>
      <c r="B12" s="88"/>
      <c r="C12" s="89"/>
      <c r="D12" s="94"/>
      <c r="E12" s="95"/>
      <c r="F12" s="96"/>
      <c r="G12" s="101"/>
      <c r="H12" s="102"/>
      <c r="I12" s="103"/>
      <c r="J12" s="79"/>
      <c r="K12" s="80"/>
      <c r="L12" s="81"/>
    </row>
    <row r="13" spans="1:15" ht="14.65" customHeight="1">
      <c r="A13" s="90"/>
      <c r="B13" s="91"/>
      <c r="C13" s="92"/>
      <c r="D13" s="97"/>
      <c r="E13" s="98"/>
      <c r="F13" s="99"/>
      <c r="G13" s="104"/>
      <c r="H13" s="105"/>
      <c r="I13" s="106"/>
      <c r="J13" s="82"/>
      <c r="K13" s="83"/>
      <c r="L13" s="84"/>
    </row>
    <row r="14" spans="1:15" ht="14.65" customHeight="1">
      <c r="A14" s="31"/>
      <c r="B14" s="31"/>
      <c r="C14" s="31"/>
      <c r="D14" s="32"/>
      <c r="E14" s="32"/>
      <c r="F14" s="32"/>
      <c r="G14" s="33"/>
      <c r="H14" s="33"/>
      <c r="I14" s="33"/>
      <c r="J14" s="30"/>
      <c r="K14" s="30"/>
      <c r="L14" s="30"/>
    </row>
    <row r="15" spans="1:15" ht="14.6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5" ht="14.65" customHeight="1">
      <c r="A16" s="85" t="s">
        <v>83</v>
      </c>
      <c r="B16" s="85"/>
      <c r="C16" s="85"/>
      <c r="D16" s="85"/>
      <c r="E16" s="85"/>
      <c r="F16" s="85"/>
      <c r="G16" s="85" t="s">
        <v>84</v>
      </c>
      <c r="H16" s="85"/>
      <c r="I16" s="85"/>
      <c r="J16" s="85"/>
      <c r="K16" s="85"/>
      <c r="L16" s="85"/>
    </row>
    <row r="17" spans="1:12" ht="14.65" customHeight="1">
      <c r="A17" s="4" t="s">
        <v>85</v>
      </c>
      <c r="B17" s="4" t="s">
        <v>58</v>
      </c>
      <c r="C17" s="4" t="s">
        <v>86</v>
      </c>
      <c r="D17" s="4" t="s">
        <v>87</v>
      </c>
      <c r="E17" s="3"/>
      <c r="F17" s="3"/>
      <c r="G17" s="4" t="s">
        <v>8</v>
      </c>
      <c r="H17" s="4" t="s">
        <v>74</v>
      </c>
      <c r="I17" s="4" t="s">
        <v>88</v>
      </c>
      <c r="J17" s="3"/>
      <c r="K17" s="3"/>
      <c r="L17" s="3"/>
    </row>
    <row r="18" spans="1:12" ht="14.65" customHeight="1">
      <c r="A18" s="3" t="s">
        <v>89</v>
      </c>
      <c r="B18" s="3">
        <f>COUNTIFS('Project Tracker'!$D$13:$D$222,"Assessment",'Project Tracker'!$N$13:$N$222,"Completed")</f>
        <v>0</v>
      </c>
      <c r="C18" s="3">
        <v>30</v>
      </c>
      <c r="D18" s="5">
        <f t="shared" ref="D18:D23" si="0">B18/C18</f>
        <v>0</v>
      </c>
      <c r="E18" s="3"/>
      <c r="F18" s="3"/>
      <c r="G18" s="6" t="s">
        <v>90</v>
      </c>
      <c r="H18" s="3">
        <f ca="1">COUNTIF('Process Summary'!J4:J33,"Green")</f>
        <v>26</v>
      </c>
      <c r="I18" s="5">
        <f ca="1">H18/30</f>
        <v>0.8666666666666667</v>
      </c>
      <c r="J18" s="3"/>
      <c r="K18" s="3"/>
      <c r="L18" s="3"/>
    </row>
    <row r="19" spans="1:12" ht="14.65" customHeight="1">
      <c r="A19" s="3" t="s">
        <v>91</v>
      </c>
      <c r="B19" s="3">
        <f>COUNTIFS('Project Tracker'!$D$13:$D$222,"PDD Share",'Project Tracker'!$N$13:$N$222,"Completed")</f>
        <v>0</v>
      </c>
      <c r="C19" s="3">
        <v>30</v>
      </c>
      <c r="D19" s="5">
        <f t="shared" si="0"/>
        <v>0</v>
      </c>
      <c r="E19" s="3"/>
      <c r="F19" s="3"/>
      <c r="G19" s="7" t="s">
        <v>92</v>
      </c>
      <c r="H19" s="3">
        <f ca="1">COUNTIF('Process Summary'!J4:J33,"Amber")</f>
        <v>0</v>
      </c>
      <c r="I19" s="5">
        <f ca="1">H19/30</f>
        <v>0</v>
      </c>
      <c r="J19" s="3"/>
      <c r="K19" s="3"/>
      <c r="L19" s="3"/>
    </row>
    <row r="20" spans="1:12" ht="14.65" customHeight="1">
      <c r="A20" s="3" t="s">
        <v>93</v>
      </c>
      <c r="B20" s="3">
        <f>COUNTIFS('Project Tracker'!$D$13:$D$222,"PDD Approve",'Project Tracker'!$N$13:$N$222,"Completed")</f>
        <v>0</v>
      </c>
      <c r="C20" s="3">
        <v>30</v>
      </c>
      <c r="D20" s="5">
        <f t="shared" si="0"/>
        <v>0</v>
      </c>
      <c r="E20" s="3"/>
      <c r="F20" s="3"/>
      <c r="G20" s="8" t="s">
        <v>94</v>
      </c>
      <c r="H20" s="3">
        <f ca="1">COUNTIF('Process Summary'!J4:J33,"Red")</f>
        <v>4</v>
      </c>
      <c r="I20" s="5">
        <f ca="1">H20/30</f>
        <v>0.13333333333333333</v>
      </c>
      <c r="J20" s="3"/>
      <c r="K20" s="3"/>
      <c r="L20" s="3"/>
    </row>
    <row r="21" spans="1:12" ht="14.65" customHeight="1">
      <c r="A21" s="3" t="s">
        <v>95</v>
      </c>
      <c r="B21" s="3">
        <f>COUNTIFS('Project Tracker'!$D$13:$D$222,"Development",'Project Tracker'!$N$13:$N$222,"Completed")</f>
        <v>0</v>
      </c>
      <c r="C21" s="3">
        <v>30</v>
      </c>
      <c r="D21" s="5">
        <f t="shared" si="0"/>
        <v>0</v>
      </c>
      <c r="E21" s="3"/>
      <c r="F21" s="3"/>
      <c r="G21" s="9" t="s">
        <v>96</v>
      </c>
      <c r="H21" s="3">
        <f ca="1">COUNTIF('Process Summary'!J4:J33,"Gray")</f>
        <v>0</v>
      </c>
      <c r="I21" s="5">
        <f ca="1">H21/30</f>
        <v>0</v>
      </c>
      <c r="J21" s="3"/>
      <c r="K21" s="3"/>
      <c r="L21" s="3"/>
    </row>
    <row r="22" spans="1:12" ht="14.65" customHeight="1">
      <c r="A22" s="3" t="s">
        <v>97</v>
      </c>
      <c r="B22" s="3">
        <f>COUNTIFS('Project Tracker'!$D$13:$D$222,"UAT",'Project Tracker'!$N$13:$N$222,"Completed")</f>
        <v>0</v>
      </c>
      <c r="C22" s="3">
        <v>30</v>
      </c>
      <c r="D22" s="5">
        <f t="shared" si="0"/>
        <v>0</v>
      </c>
      <c r="E22" s="3"/>
      <c r="F22" s="3"/>
      <c r="G22" s="3"/>
      <c r="H22" s="3"/>
      <c r="I22" s="3"/>
      <c r="J22" s="3"/>
      <c r="K22" s="3"/>
      <c r="L22" s="3"/>
    </row>
    <row r="23" spans="1:12" ht="14.65" customHeight="1">
      <c r="A23" s="3" t="s">
        <v>98</v>
      </c>
      <c r="B23" s="3">
        <f>COUNTIFS('Project Tracker'!$D$13:$D$222,"Go Live",'Project Tracker'!$N$13:$N$222,"Completed")</f>
        <v>0</v>
      </c>
      <c r="C23" s="3">
        <v>30</v>
      </c>
      <c r="D23" s="5">
        <f t="shared" si="0"/>
        <v>0</v>
      </c>
      <c r="E23" s="3"/>
      <c r="F23" s="3"/>
      <c r="G23" s="3"/>
      <c r="H23" s="3"/>
      <c r="I23" s="3"/>
      <c r="J23" s="3"/>
      <c r="K23" s="3"/>
      <c r="L23" s="3"/>
    </row>
    <row r="24" spans="1:12" ht="14.6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ht="14.6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ht="14.65" customHeight="1">
      <c r="A26" s="85" t="s">
        <v>99</v>
      </c>
      <c r="B26" s="85"/>
      <c r="C26" s="85"/>
      <c r="D26" s="85"/>
      <c r="E26" s="85"/>
      <c r="F26" s="85"/>
      <c r="G26" s="85" t="s">
        <v>100</v>
      </c>
      <c r="H26" s="85"/>
      <c r="I26" s="85"/>
      <c r="J26" s="85"/>
      <c r="K26" s="85"/>
      <c r="L26" s="85"/>
    </row>
    <row r="27" spans="1:12" ht="14.65" customHeight="1">
      <c r="A27" s="4" t="s">
        <v>2</v>
      </c>
      <c r="B27" s="4" t="s">
        <v>101</v>
      </c>
      <c r="C27" s="4" t="s">
        <v>102</v>
      </c>
      <c r="D27" s="3"/>
      <c r="E27" s="3"/>
      <c r="F27" s="3"/>
      <c r="G27" s="10" t="s">
        <v>103</v>
      </c>
      <c r="H27" s="11">
        <f>MIN('Process Summary'!G4:G33)</f>
        <v>46187</v>
      </c>
      <c r="I27" s="3"/>
      <c r="J27" s="3"/>
      <c r="K27" s="3"/>
      <c r="L27" s="3"/>
    </row>
    <row r="28" spans="1:12" ht="14.65" customHeight="1">
      <c r="A28" s="3" t="s">
        <v>47</v>
      </c>
      <c r="B28" s="3">
        <f>COUNTIF('Process Summary'!C4:C33,"Developer 1")</f>
        <v>7</v>
      </c>
      <c r="C28" s="3">
        <f>COUNTIFS('Process Summary'!C4:C33,"Developer 1",'Process Summary'!D4:D33,"&lt;&gt;Completed")</f>
        <v>7</v>
      </c>
      <c r="D28" s="3"/>
      <c r="E28" s="3"/>
      <c r="F28" s="3"/>
      <c r="G28" s="10" t="s">
        <v>104</v>
      </c>
      <c r="H28" s="11">
        <f>MAX('Process Summary'!H4:H33)</f>
        <v>46469</v>
      </c>
      <c r="I28" s="3"/>
      <c r="J28" s="3"/>
      <c r="K28" s="3"/>
      <c r="L28" s="3"/>
    </row>
    <row r="29" spans="1:12" ht="14.65" customHeight="1">
      <c r="A29" s="3" t="s">
        <v>51</v>
      </c>
      <c r="B29" s="3">
        <f>COUNTIF('Process Summary'!C4:C33,"Developer 2")</f>
        <v>8</v>
      </c>
      <c r="C29" s="3">
        <f>COUNTIFS('Process Summary'!C4:C33,"Developer 2",'Process Summary'!D4:D33,"&lt;&gt;Completed")</f>
        <v>8</v>
      </c>
      <c r="D29" s="3"/>
      <c r="E29" s="3"/>
      <c r="F29" s="3"/>
      <c r="G29" s="10" t="s">
        <v>105</v>
      </c>
      <c r="H29" s="12">
        <f>COUNTIF('Process Summary'!F4:F33,"&gt;0")</f>
        <v>0</v>
      </c>
      <c r="I29" s="3"/>
      <c r="J29" s="3"/>
      <c r="K29" s="3"/>
      <c r="L29" s="3"/>
    </row>
    <row r="30" spans="1:12" ht="14.65" customHeight="1">
      <c r="A30" s="3" t="s">
        <v>55</v>
      </c>
      <c r="B30" s="3">
        <f>COUNTIF('Process Summary'!C4:C33,"Developer 3")</f>
        <v>8</v>
      </c>
      <c r="C30" s="3">
        <f>COUNTIFS('Process Summary'!C4:C33,"Developer 3",'Process Summary'!D4:D33,"&lt;&gt;Completed")</f>
        <v>8</v>
      </c>
      <c r="D30" s="3"/>
      <c r="E30" s="3"/>
      <c r="F30" s="3"/>
      <c r="G30" s="10" t="s">
        <v>106</v>
      </c>
      <c r="H30" s="12">
        <f ca="1">COUNTIF('Process Summary'!J4:J33,"Red")</f>
        <v>4</v>
      </c>
      <c r="I30" s="3"/>
      <c r="J30" s="3"/>
      <c r="K30" s="3"/>
      <c r="L30" s="3"/>
    </row>
    <row r="31" spans="1:12" ht="14.65" customHeight="1">
      <c r="A31" s="3" t="s">
        <v>59</v>
      </c>
      <c r="B31" s="3">
        <f>COUNTIF('Process Summary'!C4:C33,"Developer 4")</f>
        <v>7</v>
      </c>
      <c r="C31" s="3">
        <f>COUNTIFS('Process Summary'!C4:C33,"Developer 4",'Process Summary'!D4:D33,"&lt;&gt;Completed")</f>
        <v>7</v>
      </c>
      <c r="D31" s="3"/>
      <c r="E31" s="3"/>
      <c r="F31" s="3"/>
      <c r="G31" s="3"/>
      <c r="H31" s="3"/>
      <c r="I31" s="3"/>
      <c r="J31" s="3"/>
      <c r="K31" s="3"/>
      <c r="L31" s="3"/>
    </row>
    <row r="32" spans="1:12" ht="14.6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 ht="14.6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1:12" ht="14.6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1:12" ht="14.6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1:12" ht="14.6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1:12" ht="14.6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</sheetData>
  <mergeCells count="22">
    <mergeCell ref="J10:L10"/>
    <mergeCell ref="J11:L13"/>
    <mergeCell ref="A16:F16"/>
    <mergeCell ref="G16:L16"/>
    <mergeCell ref="A26:F26"/>
    <mergeCell ref="G26:L26"/>
    <mergeCell ref="A10:C10"/>
    <mergeCell ref="A11:C13"/>
    <mergeCell ref="D10:F10"/>
    <mergeCell ref="D11:F13"/>
    <mergeCell ref="G10:I10"/>
    <mergeCell ref="G11:I13"/>
    <mergeCell ref="A1:L2"/>
    <mergeCell ref="A3:L3"/>
    <mergeCell ref="A5:C5"/>
    <mergeCell ref="A6:C8"/>
    <mergeCell ref="D5:F5"/>
    <mergeCell ref="D6:F8"/>
    <mergeCell ref="G5:I5"/>
    <mergeCell ref="G6:I8"/>
    <mergeCell ref="J5:L5"/>
    <mergeCell ref="J6:L8"/>
  </mergeCells>
  <conditionalFormatting sqref="D18:D23">
    <cfRule type="dataBar" priority="1">
      <dataBar>
        <cfvo type="min"/>
        <cfvo type="max"/>
        <color rgb="FF2E75B6"/>
      </dataBar>
    </cfRule>
    <cfRule type="dataBar" priority="2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D18:D23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zoomScale="79" zoomScaleNormal="79" workbookViewId="0">
      <selection activeCell="H13" sqref="H13"/>
    </sheetView>
  </sheetViews>
  <sheetFormatPr defaultRowHeight="14"/>
  <cols>
    <col min="1" max="1" width="50.58203125" style="16" customWidth="1"/>
    <col min="2" max="2" width="12.5" style="16" bestFit="1" customWidth="1"/>
    <col min="3" max="3" width="11.75" style="16" bestFit="1" customWidth="1"/>
    <col min="4" max="4" width="10" style="16" bestFit="1" customWidth="1"/>
    <col min="5" max="5" width="9.75" style="16" bestFit="1" customWidth="1"/>
    <col min="6" max="6" width="14.6640625" style="16" bestFit="1" customWidth="1"/>
    <col min="7" max="7" width="12.9140625" style="16" bestFit="1" customWidth="1"/>
    <col min="8" max="8" width="9.75" style="16" bestFit="1" customWidth="1"/>
    <col min="9" max="9" width="8.5" style="16" bestFit="1" customWidth="1"/>
    <col min="10" max="10" width="6.1640625" style="16" bestFit="1" customWidth="1"/>
    <col min="11" max="16384" width="8.6640625" style="16"/>
  </cols>
  <sheetData>
    <row r="1" spans="1:10" ht="15" customHeight="1">
      <c r="A1" s="107" t="s">
        <v>66</v>
      </c>
      <c r="B1" s="107"/>
      <c r="C1" s="107"/>
      <c r="D1" s="107"/>
      <c r="E1" s="107"/>
      <c r="F1" s="107"/>
      <c r="G1" s="107"/>
      <c r="H1" s="107"/>
      <c r="I1" s="107"/>
      <c r="J1" s="107"/>
    </row>
    <row r="2" spans="1:10" ht="15" customHeight="1">
      <c r="A2" s="107"/>
      <c r="B2" s="107"/>
      <c r="C2" s="107"/>
      <c r="D2" s="107"/>
      <c r="E2" s="107"/>
      <c r="F2" s="107"/>
      <c r="G2" s="107"/>
      <c r="H2" s="107"/>
      <c r="I2" s="107"/>
      <c r="J2" s="107"/>
    </row>
    <row r="3" spans="1:10" ht="15" customHeight="1">
      <c r="A3" s="15" t="s">
        <v>67</v>
      </c>
      <c r="B3" s="15" t="s">
        <v>68</v>
      </c>
      <c r="C3" s="15" t="s">
        <v>69</v>
      </c>
      <c r="D3" s="15" t="s">
        <v>70</v>
      </c>
      <c r="E3" s="15" t="s">
        <v>71</v>
      </c>
      <c r="F3" s="15" t="s">
        <v>114</v>
      </c>
      <c r="G3" s="15" t="s">
        <v>72</v>
      </c>
      <c r="H3" s="15" t="s">
        <v>6</v>
      </c>
      <c r="I3" s="15" t="s">
        <v>4</v>
      </c>
      <c r="J3" s="15" t="s">
        <v>8</v>
      </c>
    </row>
    <row r="4" spans="1:10">
      <c r="A4" s="23" t="s">
        <v>9</v>
      </c>
      <c r="B4" s="27" t="s">
        <v>52</v>
      </c>
      <c r="C4" s="27" t="s">
        <v>47</v>
      </c>
      <c r="D4" s="23" t="str">
        <f>'Project Tracker'!N13</f>
        <v>Not Started</v>
      </c>
      <c r="E4" s="24">
        <v>46187</v>
      </c>
      <c r="F4" s="29"/>
      <c r="G4" s="25">
        <f t="shared" ref="G4:G33" si="0">IF(F4&lt;&gt;"",F4,E4)</f>
        <v>46187</v>
      </c>
      <c r="H4" s="25">
        <f>'Project Tracker'!Q13</f>
        <v>46222</v>
      </c>
      <c r="I4" s="26">
        <f>'Project Tracker'!O13</f>
        <v>0</v>
      </c>
      <c r="J4" s="23" t="str">
        <f ca="1">'Project Tracker'!U13</f>
        <v>Red</v>
      </c>
    </row>
    <row r="5" spans="1:10">
      <c r="A5" s="23" t="s">
        <v>12</v>
      </c>
      <c r="B5" s="27" t="s">
        <v>48</v>
      </c>
      <c r="C5" s="27" t="s">
        <v>51</v>
      </c>
      <c r="D5" s="23" t="str">
        <f>'Project Tracker'!N20</f>
        <v>Not Started</v>
      </c>
      <c r="E5" s="24">
        <v>46187</v>
      </c>
      <c r="F5" s="29"/>
      <c r="G5" s="25">
        <f t="shared" si="0"/>
        <v>46187</v>
      </c>
      <c r="H5" s="25">
        <f>'Project Tracker'!Q20</f>
        <v>46215</v>
      </c>
      <c r="I5" s="26">
        <f>'Project Tracker'!O20</f>
        <v>0</v>
      </c>
      <c r="J5" s="23" t="str">
        <f ca="1">'Project Tracker'!U20</f>
        <v>Red</v>
      </c>
    </row>
    <row r="6" spans="1:10">
      <c r="A6" s="23" t="s">
        <v>13</v>
      </c>
      <c r="B6" s="27" t="s">
        <v>52</v>
      </c>
      <c r="C6" s="27" t="s">
        <v>55</v>
      </c>
      <c r="D6" s="23" t="str">
        <f>'Project Tracker'!N27</f>
        <v>Not Started</v>
      </c>
      <c r="E6" s="24">
        <v>46187</v>
      </c>
      <c r="F6" s="29"/>
      <c r="G6" s="25">
        <f t="shared" si="0"/>
        <v>46187</v>
      </c>
      <c r="H6" s="25">
        <f>'Project Tracker'!Q27</f>
        <v>46222</v>
      </c>
      <c r="I6" s="26">
        <f>'Project Tracker'!O27</f>
        <v>0</v>
      </c>
      <c r="J6" s="23" t="str">
        <f ca="1">'Project Tracker'!U27</f>
        <v>Red</v>
      </c>
    </row>
    <row r="7" spans="1:10">
      <c r="A7" s="23" t="s">
        <v>14</v>
      </c>
      <c r="B7" s="27" t="s">
        <v>52</v>
      </c>
      <c r="C7" s="27" t="s">
        <v>59</v>
      </c>
      <c r="D7" s="23" t="str">
        <f>'Project Tracker'!N34</f>
        <v>Not Started</v>
      </c>
      <c r="E7" s="24">
        <v>46187</v>
      </c>
      <c r="F7" s="29"/>
      <c r="G7" s="25">
        <f t="shared" si="0"/>
        <v>46187</v>
      </c>
      <c r="H7" s="25">
        <f>'Project Tracker'!Q34</f>
        <v>46222</v>
      </c>
      <c r="I7" s="26">
        <f>'Project Tracker'!O34</f>
        <v>0</v>
      </c>
      <c r="J7" s="23" t="str">
        <f ca="1">'Project Tracker'!U34</f>
        <v>Red</v>
      </c>
    </row>
    <row r="8" spans="1:10">
      <c r="A8" s="23" t="s">
        <v>15</v>
      </c>
      <c r="B8" s="27" t="s">
        <v>56</v>
      </c>
      <c r="C8" s="27" t="s">
        <v>51</v>
      </c>
      <c r="D8" s="23" t="str">
        <f>'Project Tracker'!N41</f>
        <v>Not Started</v>
      </c>
      <c r="E8" s="24">
        <f>H5+1+2*INT((WEEKDAY(H5,1)-1+1)/5)</f>
        <v>46216</v>
      </c>
      <c r="F8" s="29"/>
      <c r="G8" s="25">
        <f t="shared" si="0"/>
        <v>46216</v>
      </c>
      <c r="H8" s="25">
        <f>'Project Tracker'!Q41</f>
        <v>46258</v>
      </c>
      <c r="I8" s="26">
        <f>'Project Tracker'!O41</f>
        <v>0</v>
      </c>
      <c r="J8" s="23" t="str">
        <f ca="1">'Project Tracker'!U41</f>
        <v>Green</v>
      </c>
    </row>
    <row r="9" spans="1:10">
      <c r="A9" s="23" t="s">
        <v>16</v>
      </c>
      <c r="B9" s="27" t="s">
        <v>56</v>
      </c>
      <c r="C9" s="27" t="s">
        <v>47</v>
      </c>
      <c r="D9" s="23" t="str">
        <f>'Project Tracker'!N48</f>
        <v>Not Started</v>
      </c>
      <c r="E9" s="24">
        <f>H4+1+2*INT((WEEKDAY(H4,1)-1+1)/5)</f>
        <v>46223</v>
      </c>
      <c r="F9" s="29"/>
      <c r="G9" s="25">
        <f t="shared" si="0"/>
        <v>46223</v>
      </c>
      <c r="H9" s="25">
        <f>'Project Tracker'!Q48</f>
        <v>46265</v>
      </c>
      <c r="I9" s="26">
        <f>'Project Tracker'!O48</f>
        <v>0</v>
      </c>
      <c r="J9" s="23" t="str">
        <f ca="1">'Project Tracker'!U48</f>
        <v>Green</v>
      </c>
    </row>
    <row r="10" spans="1:10">
      <c r="A10" s="23" t="s">
        <v>17</v>
      </c>
      <c r="B10" s="27" t="s">
        <v>56</v>
      </c>
      <c r="C10" s="27" t="s">
        <v>55</v>
      </c>
      <c r="D10" s="23" t="str">
        <f>'Project Tracker'!N55</f>
        <v>Not Started</v>
      </c>
      <c r="E10" s="24">
        <f t="shared" ref="E10:E16" si="1">H6+1+2*INT((WEEKDAY(H6,1)-1+1)/5)</f>
        <v>46223</v>
      </c>
      <c r="F10" s="29"/>
      <c r="G10" s="25">
        <f t="shared" si="0"/>
        <v>46223</v>
      </c>
      <c r="H10" s="25">
        <f>'Project Tracker'!Q55</f>
        <v>46265</v>
      </c>
      <c r="I10" s="26">
        <f>'Project Tracker'!O55</f>
        <v>0</v>
      </c>
      <c r="J10" s="23" t="str">
        <f ca="1">'Project Tracker'!U55</f>
        <v>Green</v>
      </c>
    </row>
    <row r="11" spans="1:10">
      <c r="A11" s="23" t="s">
        <v>18</v>
      </c>
      <c r="B11" s="27" t="s">
        <v>56</v>
      </c>
      <c r="C11" s="27" t="s">
        <v>59</v>
      </c>
      <c r="D11" s="23" t="str">
        <f>'Project Tracker'!N62</f>
        <v>Not Started</v>
      </c>
      <c r="E11" s="24">
        <f t="shared" si="1"/>
        <v>46223</v>
      </c>
      <c r="F11" s="29"/>
      <c r="G11" s="25">
        <f t="shared" si="0"/>
        <v>46223</v>
      </c>
      <c r="H11" s="25">
        <f>'Project Tracker'!Q62</f>
        <v>46265</v>
      </c>
      <c r="I11" s="26">
        <f>'Project Tracker'!O62</f>
        <v>0</v>
      </c>
      <c r="J11" s="23" t="str">
        <f ca="1">'Project Tracker'!U62</f>
        <v>Green</v>
      </c>
    </row>
    <row r="12" spans="1:10">
      <c r="A12" s="23" t="s">
        <v>19</v>
      </c>
      <c r="B12" s="27" t="s">
        <v>56</v>
      </c>
      <c r="C12" s="27" t="s">
        <v>51</v>
      </c>
      <c r="D12" s="23" t="str">
        <f>'Project Tracker'!N69</f>
        <v>Not Started</v>
      </c>
      <c r="E12" s="24">
        <f t="shared" si="1"/>
        <v>46259</v>
      </c>
      <c r="F12" s="29"/>
      <c r="G12" s="25">
        <f t="shared" si="0"/>
        <v>46259</v>
      </c>
      <c r="H12" s="25">
        <f>'Project Tracker'!Q69</f>
        <v>46301</v>
      </c>
      <c r="I12" s="26">
        <f>'Project Tracker'!O69</f>
        <v>0</v>
      </c>
      <c r="J12" s="23" t="str">
        <f ca="1">'Project Tracker'!U69</f>
        <v>Green</v>
      </c>
    </row>
    <row r="13" spans="1:10">
      <c r="A13" s="23" t="s">
        <v>20</v>
      </c>
      <c r="B13" s="27" t="s">
        <v>52</v>
      </c>
      <c r="C13" s="27" t="s">
        <v>47</v>
      </c>
      <c r="D13" s="23" t="str">
        <f>'Project Tracker'!N76</f>
        <v>Not Started</v>
      </c>
      <c r="E13" s="24">
        <f t="shared" si="1"/>
        <v>46266</v>
      </c>
      <c r="F13" s="29"/>
      <c r="G13" s="25">
        <f t="shared" si="0"/>
        <v>46266</v>
      </c>
      <c r="H13" s="25">
        <f>'Project Tracker'!Q76</f>
        <v>46301</v>
      </c>
      <c r="I13" s="26">
        <f>'Project Tracker'!O76</f>
        <v>0</v>
      </c>
      <c r="J13" s="23" t="str">
        <f ca="1">'Project Tracker'!U76</f>
        <v>Green</v>
      </c>
    </row>
    <row r="14" spans="1:10">
      <c r="A14" s="23" t="s">
        <v>21</v>
      </c>
      <c r="B14" s="27" t="s">
        <v>52</v>
      </c>
      <c r="C14" s="27" t="s">
        <v>55</v>
      </c>
      <c r="D14" s="23" t="str">
        <f>'Project Tracker'!N83</f>
        <v>Not Started</v>
      </c>
      <c r="E14" s="24">
        <f t="shared" si="1"/>
        <v>46266</v>
      </c>
      <c r="F14" s="29"/>
      <c r="G14" s="25">
        <f t="shared" si="0"/>
        <v>46266</v>
      </c>
      <c r="H14" s="25">
        <f>'Project Tracker'!Q83</f>
        <v>46301</v>
      </c>
      <c r="I14" s="26">
        <f>'Project Tracker'!O83</f>
        <v>0</v>
      </c>
      <c r="J14" s="23" t="str">
        <f ca="1">'Project Tracker'!U83</f>
        <v>Green</v>
      </c>
    </row>
    <row r="15" spans="1:10">
      <c r="A15" s="23" t="s">
        <v>22</v>
      </c>
      <c r="B15" s="27" t="s">
        <v>52</v>
      </c>
      <c r="C15" s="27" t="s">
        <v>59</v>
      </c>
      <c r="D15" s="23" t="str">
        <f>'Project Tracker'!N90</f>
        <v>Not Started</v>
      </c>
      <c r="E15" s="24">
        <f t="shared" si="1"/>
        <v>46266</v>
      </c>
      <c r="F15" s="29"/>
      <c r="G15" s="25">
        <f t="shared" si="0"/>
        <v>46266</v>
      </c>
      <c r="H15" s="25">
        <f>'Project Tracker'!Q90</f>
        <v>46301</v>
      </c>
      <c r="I15" s="26">
        <f>'Project Tracker'!O90</f>
        <v>0</v>
      </c>
      <c r="J15" s="23" t="str">
        <f ca="1">'Project Tracker'!U90</f>
        <v>Green</v>
      </c>
    </row>
    <row r="16" spans="1:10">
      <c r="A16" s="23" t="s">
        <v>23</v>
      </c>
      <c r="B16" s="27" t="s">
        <v>52</v>
      </c>
      <c r="C16" s="27" t="s">
        <v>51</v>
      </c>
      <c r="D16" s="23" t="str">
        <f>'Project Tracker'!N97</f>
        <v>Not Started</v>
      </c>
      <c r="E16" s="24">
        <f t="shared" si="1"/>
        <v>46302</v>
      </c>
      <c r="F16" s="29"/>
      <c r="G16" s="25">
        <f t="shared" si="0"/>
        <v>46302</v>
      </c>
      <c r="H16" s="25">
        <f>'Project Tracker'!Q97</f>
        <v>46337</v>
      </c>
      <c r="I16" s="26">
        <f>'Project Tracker'!O97</f>
        <v>0</v>
      </c>
      <c r="J16" s="23" t="str">
        <f ca="1">'Project Tracker'!U97</f>
        <v>Green</v>
      </c>
    </row>
    <row r="17" spans="1:10">
      <c r="A17" s="23" t="s">
        <v>24</v>
      </c>
      <c r="B17" s="27" t="s">
        <v>52</v>
      </c>
      <c r="C17" s="27" t="s">
        <v>55</v>
      </c>
      <c r="D17" s="23" t="str">
        <f>'Project Tracker'!N104</f>
        <v>Not Started</v>
      </c>
      <c r="E17" s="24">
        <f>H14+1+2*INT((WEEKDAY(H14,1)-1+1)/5)</f>
        <v>46302</v>
      </c>
      <c r="F17" s="29"/>
      <c r="G17" s="25">
        <f t="shared" si="0"/>
        <v>46302</v>
      </c>
      <c r="H17" s="25">
        <f>'Project Tracker'!Q104</f>
        <v>46337</v>
      </c>
      <c r="I17" s="26">
        <f>'Project Tracker'!O104</f>
        <v>0</v>
      </c>
      <c r="J17" s="23" t="str">
        <f ca="1">'Project Tracker'!U104</f>
        <v>Green</v>
      </c>
    </row>
    <row r="18" spans="1:10">
      <c r="A18" s="23" t="s">
        <v>25</v>
      </c>
      <c r="B18" s="27" t="s">
        <v>52</v>
      </c>
      <c r="C18" s="27" t="s">
        <v>59</v>
      </c>
      <c r="D18" s="23" t="str">
        <f>'Project Tracker'!N111</f>
        <v>Not Started</v>
      </c>
      <c r="E18" s="24">
        <f>H15+1+2*INT((WEEKDAY(H15,1)-1+1)/5)</f>
        <v>46302</v>
      </c>
      <c r="F18" s="29"/>
      <c r="G18" s="25">
        <f t="shared" si="0"/>
        <v>46302</v>
      </c>
      <c r="H18" s="25">
        <f>'Project Tracker'!Q111</f>
        <v>46337</v>
      </c>
      <c r="I18" s="26">
        <f>'Project Tracker'!O111</f>
        <v>0</v>
      </c>
      <c r="J18" s="23" t="str">
        <f ca="1">'Project Tracker'!U111</f>
        <v>Green</v>
      </c>
    </row>
    <row r="19" spans="1:10">
      <c r="A19" s="23" t="s">
        <v>26</v>
      </c>
      <c r="B19" s="27" t="s">
        <v>52</v>
      </c>
      <c r="C19" s="27" t="s">
        <v>47</v>
      </c>
      <c r="D19" s="23" t="str">
        <f>'Project Tracker'!N118</f>
        <v>Not Started</v>
      </c>
      <c r="E19" s="24">
        <f>H13+1+2*INT((WEEKDAY(H13,1)-1+1)/5)</f>
        <v>46302</v>
      </c>
      <c r="F19" s="29"/>
      <c r="G19" s="25">
        <f t="shared" si="0"/>
        <v>46302</v>
      </c>
      <c r="H19" s="25">
        <f>'Project Tracker'!Q118</f>
        <v>46337</v>
      </c>
      <c r="I19" s="26">
        <f>'Project Tracker'!O118</f>
        <v>0</v>
      </c>
      <c r="J19" s="23" t="str">
        <f ca="1">'Project Tracker'!U118</f>
        <v>Green</v>
      </c>
    </row>
    <row r="20" spans="1:10">
      <c r="A20" s="23" t="s">
        <v>27</v>
      </c>
      <c r="B20" s="27" t="s">
        <v>52</v>
      </c>
      <c r="C20" s="27" t="s">
        <v>51</v>
      </c>
      <c r="D20" s="23" t="str">
        <f>'Project Tracker'!N125</f>
        <v>Not Started</v>
      </c>
      <c r="E20" s="24">
        <f t="shared" ref="E20:E33" si="2">H16+1+2*INT((WEEKDAY(H16,1)-1+1)/5)</f>
        <v>46338</v>
      </c>
      <c r="F20" s="29"/>
      <c r="G20" s="25">
        <f t="shared" si="0"/>
        <v>46338</v>
      </c>
      <c r="H20" s="25">
        <f>'Project Tracker'!Q125</f>
        <v>46373</v>
      </c>
      <c r="I20" s="26">
        <f>'Project Tracker'!O125</f>
        <v>0</v>
      </c>
      <c r="J20" s="23" t="str">
        <f ca="1">'Project Tracker'!U125</f>
        <v>Green</v>
      </c>
    </row>
    <row r="21" spans="1:10">
      <c r="A21" s="23" t="s">
        <v>28</v>
      </c>
      <c r="B21" s="27" t="s">
        <v>52</v>
      </c>
      <c r="C21" s="27" t="s">
        <v>55</v>
      </c>
      <c r="D21" s="23" t="str">
        <f>'Project Tracker'!N132</f>
        <v>Not Started</v>
      </c>
      <c r="E21" s="24">
        <f t="shared" si="2"/>
        <v>46338</v>
      </c>
      <c r="F21" s="29"/>
      <c r="G21" s="25">
        <f t="shared" si="0"/>
        <v>46338</v>
      </c>
      <c r="H21" s="25">
        <f>'Project Tracker'!Q132</f>
        <v>46373</v>
      </c>
      <c r="I21" s="26">
        <f>'Project Tracker'!O132</f>
        <v>0</v>
      </c>
      <c r="J21" s="23" t="str">
        <f ca="1">'Project Tracker'!U132</f>
        <v>Green</v>
      </c>
    </row>
    <row r="22" spans="1:10">
      <c r="A22" s="23" t="s">
        <v>29</v>
      </c>
      <c r="B22" s="27" t="s">
        <v>52</v>
      </c>
      <c r="C22" s="27" t="s">
        <v>59</v>
      </c>
      <c r="D22" s="23" t="str">
        <f>'Project Tracker'!N139</f>
        <v>Not Started</v>
      </c>
      <c r="E22" s="24">
        <f t="shared" si="2"/>
        <v>46338</v>
      </c>
      <c r="F22" s="29"/>
      <c r="G22" s="25">
        <f t="shared" si="0"/>
        <v>46338</v>
      </c>
      <c r="H22" s="25">
        <f>'Project Tracker'!Q139</f>
        <v>46373</v>
      </c>
      <c r="I22" s="26">
        <f>'Project Tracker'!O139</f>
        <v>0</v>
      </c>
      <c r="J22" s="23" t="str">
        <f ca="1">'Project Tracker'!U139</f>
        <v>Green</v>
      </c>
    </row>
    <row r="23" spans="1:10">
      <c r="A23" s="23" t="s">
        <v>30</v>
      </c>
      <c r="B23" s="27" t="s">
        <v>52</v>
      </c>
      <c r="C23" s="27" t="s">
        <v>47</v>
      </c>
      <c r="D23" s="23" t="str">
        <f>'Project Tracker'!N146</f>
        <v>Not Started</v>
      </c>
      <c r="E23" s="24">
        <f t="shared" si="2"/>
        <v>46338</v>
      </c>
      <c r="F23" s="29"/>
      <c r="G23" s="25">
        <f t="shared" si="0"/>
        <v>46338</v>
      </c>
      <c r="H23" s="25">
        <f>'Project Tracker'!Q146</f>
        <v>46373</v>
      </c>
      <c r="I23" s="26">
        <f>'Project Tracker'!O146</f>
        <v>0</v>
      </c>
      <c r="J23" s="23" t="str">
        <f ca="1">'Project Tracker'!U146</f>
        <v>Green</v>
      </c>
    </row>
    <row r="24" spans="1:10">
      <c r="A24" s="23" t="s">
        <v>31</v>
      </c>
      <c r="B24" s="27" t="s">
        <v>52</v>
      </c>
      <c r="C24" s="27" t="s">
        <v>51</v>
      </c>
      <c r="D24" s="23" t="str">
        <f>'Project Tracker'!N153</f>
        <v>Not Started</v>
      </c>
      <c r="E24" s="24">
        <f t="shared" si="2"/>
        <v>46376</v>
      </c>
      <c r="F24" s="29"/>
      <c r="G24" s="25">
        <f t="shared" si="0"/>
        <v>46376</v>
      </c>
      <c r="H24" s="25">
        <f>'Project Tracker'!Q153</f>
        <v>46411</v>
      </c>
      <c r="I24" s="26">
        <f>'Project Tracker'!O153</f>
        <v>0</v>
      </c>
      <c r="J24" s="23" t="str">
        <f ca="1">'Project Tracker'!U153</f>
        <v>Green</v>
      </c>
    </row>
    <row r="25" spans="1:10">
      <c r="A25" s="23" t="s">
        <v>32</v>
      </c>
      <c r="B25" s="27" t="s">
        <v>48</v>
      </c>
      <c r="C25" s="27" t="s">
        <v>55</v>
      </c>
      <c r="D25" s="23" t="str">
        <f>'Project Tracker'!N160</f>
        <v>Not Started</v>
      </c>
      <c r="E25" s="24">
        <f t="shared" si="2"/>
        <v>46376</v>
      </c>
      <c r="F25" s="29"/>
      <c r="G25" s="25">
        <f t="shared" si="0"/>
        <v>46376</v>
      </c>
      <c r="H25" s="25">
        <f>'Project Tracker'!Q160</f>
        <v>46404</v>
      </c>
      <c r="I25" s="26">
        <f>'Project Tracker'!O160</f>
        <v>0</v>
      </c>
      <c r="J25" s="23" t="str">
        <f ca="1">'Project Tracker'!U160</f>
        <v>Green</v>
      </c>
    </row>
    <row r="26" spans="1:10">
      <c r="A26" s="23" t="s">
        <v>33</v>
      </c>
      <c r="B26" s="27" t="s">
        <v>48</v>
      </c>
      <c r="C26" s="27" t="s">
        <v>59</v>
      </c>
      <c r="D26" s="23" t="str">
        <f>'Project Tracker'!N167</f>
        <v>Not Started</v>
      </c>
      <c r="E26" s="24">
        <f t="shared" si="2"/>
        <v>46376</v>
      </c>
      <c r="F26" s="29"/>
      <c r="G26" s="25">
        <f t="shared" si="0"/>
        <v>46376</v>
      </c>
      <c r="H26" s="25">
        <f>'Project Tracker'!Q167</f>
        <v>46404</v>
      </c>
      <c r="I26" s="26">
        <f>'Project Tracker'!O167</f>
        <v>0</v>
      </c>
      <c r="J26" s="23" t="str">
        <f ca="1">'Project Tracker'!U167</f>
        <v>Green</v>
      </c>
    </row>
    <row r="27" spans="1:10">
      <c r="A27" s="23" t="s">
        <v>34</v>
      </c>
      <c r="B27" s="27" t="s">
        <v>48</v>
      </c>
      <c r="C27" s="27" t="s">
        <v>47</v>
      </c>
      <c r="D27" s="23" t="str">
        <f>'Project Tracker'!N174</f>
        <v>Not Started</v>
      </c>
      <c r="E27" s="24">
        <f t="shared" si="2"/>
        <v>46376</v>
      </c>
      <c r="F27" s="29"/>
      <c r="G27" s="25">
        <f t="shared" si="0"/>
        <v>46376</v>
      </c>
      <c r="H27" s="25">
        <f>'Project Tracker'!Q174</f>
        <v>46404</v>
      </c>
      <c r="I27" s="26">
        <f>'Project Tracker'!O174</f>
        <v>0</v>
      </c>
      <c r="J27" s="23" t="str">
        <f ca="1">'Project Tracker'!U174</f>
        <v>Green</v>
      </c>
    </row>
    <row r="28" spans="1:10">
      <c r="A28" s="23" t="s">
        <v>35</v>
      </c>
      <c r="B28" s="27" t="s">
        <v>48</v>
      </c>
      <c r="C28" s="27" t="s">
        <v>51</v>
      </c>
      <c r="D28" s="23" t="str">
        <f>'Project Tracker'!N181</f>
        <v>Not Started</v>
      </c>
      <c r="E28" s="24">
        <f t="shared" si="2"/>
        <v>46412</v>
      </c>
      <c r="F28" s="29"/>
      <c r="G28" s="25">
        <f t="shared" si="0"/>
        <v>46412</v>
      </c>
      <c r="H28" s="25">
        <f>'Project Tracker'!Q181</f>
        <v>46440</v>
      </c>
      <c r="I28" s="26">
        <f>'Project Tracker'!O181</f>
        <v>0</v>
      </c>
      <c r="J28" s="23" t="str">
        <f ca="1">'Project Tracker'!U181</f>
        <v>Green</v>
      </c>
    </row>
    <row r="29" spans="1:10">
      <c r="A29" s="23" t="s">
        <v>36</v>
      </c>
      <c r="B29" s="27" t="s">
        <v>48</v>
      </c>
      <c r="C29" s="27" t="s">
        <v>55</v>
      </c>
      <c r="D29" s="23" t="str">
        <f>'Project Tracker'!N188</f>
        <v>Not Started</v>
      </c>
      <c r="E29" s="24">
        <f t="shared" si="2"/>
        <v>46405</v>
      </c>
      <c r="F29" s="29"/>
      <c r="G29" s="25">
        <f t="shared" si="0"/>
        <v>46405</v>
      </c>
      <c r="H29" s="25">
        <f>'Project Tracker'!Q188</f>
        <v>46433</v>
      </c>
      <c r="I29" s="26">
        <f>'Project Tracker'!O188</f>
        <v>0</v>
      </c>
      <c r="J29" s="23" t="str">
        <f ca="1">'Project Tracker'!U188</f>
        <v>Green</v>
      </c>
    </row>
    <row r="30" spans="1:10">
      <c r="A30" s="23" t="s">
        <v>37</v>
      </c>
      <c r="B30" s="27" t="s">
        <v>48</v>
      </c>
      <c r="C30" s="27" t="s">
        <v>59</v>
      </c>
      <c r="D30" s="23" t="str">
        <f>'Project Tracker'!N195</f>
        <v>Not Started</v>
      </c>
      <c r="E30" s="24">
        <f t="shared" si="2"/>
        <v>46405</v>
      </c>
      <c r="F30" s="29"/>
      <c r="G30" s="25">
        <f t="shared" si="0"/>
        <v>46405</v>
      </c>
      <c r="H30" s="25">
        <f>'Project Tracker'!Q195</f>
        <v>46433</v>
      </c>
      <c r="I30" s="26">
        <f>'Project Tracker'!O195</f>
        <v>0</v>
      </c>
      <c r="J30" s="23" t="str">
        <f ca="1">'Project Tracker'!U195</f>
        <v>Green</v>
      </c>
    </row>
    <row r="31" spans="1:10">
      <c r="A31" s="23" t="s">
        <v>38</v>
      </c>
      <c r="B31" s="27" t="s">
        <v>48</v>
      </c>
      <c r="C31" s="27" t="s">
        <v>47</v>
      </c>
      <c r="D31" s="23" t="str">
        <f>'Project Tracker'!N202</f>
        <v>Not Started</v>
      </c>
      <c r="E31" s="24">
        <f t="shared" si="2"/>
        <v>46405</v>
      </c>
      <c r="F31" s="29"/>
      <c r="G31" s="25">
        <f t="shared" si="0"/>
        <v>46405</v>
      </c>
      <c r="H31" s="25">
        <f>'Project Tracker'!Q202</f>
        <v>46433</v>
      </c>
      <c r="I31" s="26">
        <f>'Project Tracker'!O202</f>
        <v>0</v>
      </c>
      <c r="J31" s="23" t="str">
        <f ca="1">'Project Tracker'!U202</f>
        <v>Green</v>
      </c>
    </row>
    <row r="32" spans="1:10">
      <c r="A32" s="23" t="s">
        <v>39</v>
      </c>
      <c r="B32" s="27" t="s">
        <v>48</v>
      </c>
      <c r="C32" s="27" t="s">
        <v>51</v>
      </c>
      <c r="D32" s="23" t="str">
        <f>'Project Tracker'!N209</f>
        <v>Not Started</v>
      </c>
      <c r="E32" s="24">
        <f t="shared" si="2"/>
        <v>46441</v>
      </c>
      <c r="F32" s="29"/>
      <c r="G32" s="25">
        <f t="shared" si="0"/>
        <v>46441</v>
      </c>
      <c r="H32" s="25">
        <f>'Project Tracker'!Q209</f>
        <v>46469</v>
      </c>
      <c r="I32" s="26">
        <f>'Project Tracker'!O209</f>
        <v>0</v>
      </c>
      <c r="J32" s="23" t="str">
        <f ca="1">'Project Tracker'!U209</f>
        <v>Green</v>
      </c>
    </row>
    <row r="33" spans="1:10">
      <c r="A33" s="23" t="s">
        <v>40</v>
      </c>
      <c r="B33" s="27" t="s">
        <v>48</v>
      </c>
      <c r="C33" s="27" t="s">
        <v>55</v>
      </c>
      <c r="D33" s="23" t="str">
        <f>'Project Tracker'!N216</f>
        <v>Not Started</v>
      </c>
      <c r="E33" s="24">
        <f t="shared" si="2"/>
        <v>46434</v>
      </c>
      <c r="F33" s="29"/>
      <c r="G33" s="25">
        <f t="shared" si="0"/>
        <v>46434</v>
      </c>
      <c r="H33" s="25">
        <f>'Project Tracker'!Q216</f>
        <v>46462</v>
      </c>
      <c r="I33" s="26">
        <f>'Project Tracker'!O216</f>
        <v>0</v>
      </c>
      <c r="J33" s="23" t="str">
        <f ca="1">'Project Tracker'!U216</f>
        <v>Green</v>
      </c>
    </row>
  </sheetData>
  <autoFilter ref="A1:J33" xr:uid="{00000000-0001-0000-02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</autoFilter>
  <mergeCells count="1">
    <mergeCell ref="A1:J2"/>
  </mergeCells>
  <conditionalFormatting sqref="I4:I33">
    <cfRule type="dataBar" priority="1">
      <dataBar>
        <cfvo type="min"/>
        <cfvo type="max"/>
        <color rgb="FF5B9BD5"/>
      </dataBar>
    </cfRule>
    <cfRule type="dataBar" priority="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{15751DC9-3D57-9836-DA54-51C24AB7FF6C}</x14:id>
        </ext>
      </extLst>
    </cfRule>
  </conditionalFormatting>
  <conditionalFormatting sqref="J4:J33">
    <cfRule type="expression" dxfId="11" priority="2">
      <formula>J4="Green"</formula>
    </cfRule>
    <cfRule type="expression" dxfId="10" priority="3">
      <formula>J4="Amber"</formula>
    </cfRule>
    <cfRule type="expression" dxfId="9" priority="4">
      <formula>J4="Red"</formula>
    </cfRule>
    <cfRule type="expression" dxfId="8" priority="5">
      <formula>J4="Gray"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751DC9-3D57-9836-DA54-51C24AB7FF6C}">
            <x14:dataBar>
              <x14:cfvo type="min"/>
              <x14:cfvo type="max"/>
              <x14:negativeFillColor auto="1"/>
              <x14:axisColor auto="1"/>
            </x14:dataBar>
          </x14:cfRule>
          <xm:sqref>I4:I33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Settings!$H$4:$H$6</xm:f>
          </x14:formula1>
          <xm:sqref>B4:B33</xm:sqref>
        </x14:dataValidation>
        <x14:dataValidation type="list" xr:uid="{00000000-0002-0000-0200-000001000000}">
          <x14:formula1>
            <xm:f>Settings!$F$4:$F$7</xm:f>
          </x14:formula1>
          <xm:sqref>C4:C33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2"/>
  <sheetViews>
    <sheetView topLeftCell="K1" zoomScale="83" zoomScaleNormal="100" workbookViewId="0">
      <selection activeCell="C5" sqref="C5"/>
    </sheetView>
  </sheetViews>
  <sheetFormatPr defaultRowHeight="21" customHeight="1"/>
  <cols>
    <col min="1" max="1" width="13.6640625" style="16" bestFit="1" customWidth="1"/>
    <col min="2" max="2" width="20.1640625" style="16" bestFit="1" customWidth="1"/>
    <col min="3" max="3" width="20.1640625" style="16" customWidth="1"/>
    <col min="4" max="4" width="21.4140625" style="16" bestFit="1" customWidth="1"/>
    <col min="5" max="5" width="15.08203125" style="16" bestFit="1" customWidth="1"/>
    <col min="6" max="6" width="17.75" style="16" bestFit="1" customWidth="1"/>
    <col min="7" max="7" width="16.08203125" style="16" bestFit="1" customWidth="1"/>
    <col min="8" max="8" width="11.4140625" style="16" bestFit="1" customWidth="1"/>
    <col min="9" max="9" width="15.08203125" style="16" bestFit="1" customWidth="1"/>
    <col min="10" max="10" width="17.08203125" style="16" bestFit="1" customWidth="1"/>
    <col min="11" max="11" width="33.25" style="16" bestFit="1" customWidth="1"/>
    <col min="12" max="12" width="15.83203125" style="16" bestFit="1" customWidth="1"/>
    <col min="13" max="13" width="16.1640625" style="16" bestFit="1" customWidth="1"/>
    <col min="14" max="14" width="13.75" style="16" bestFit="1" customWidth="1"/>
    <col min="15" max="15" width="13.83203125" style="16" bestFit="1" customWidth="1"/>
    <col min="16" max="16" width="10" style="16" bestFit="1" customWidth="1"/>
    <col min="17" max="17" width="11.25" style="16" bestFit="1" customWidth="1"/>
    <col min="18" max="18" width="17.83203125" style="16" bestFit="1" customWidth="1"/>
    <col min="19" max="19" width="19.1640625" style="16" bestFit="1" customWidth="1"/>
    <col min="20" max="20" width="18.6640625" style="16" bestFit="1" customWidth="1"/>
    <col min="21" max="21" width="11.5" style="16" bestFit="1" customWidth="1"/>
    <col min="22" max="22" width="11.9140625" style="16" bestFit="1" customWidth="1"/>
    <col min="23" max="23" width="20.58203125" style="16" bestFit="1" customWidth="1"/>
    <col min="24" max="24" width="16.08203125" style="16" bestFit="1" customWidth="1"/>
    <col min="25" max="25" width="15.9140625" style="16" bestFit="1" customWidth="1"/>
    <col min="26" max="26" width="14.83203125" style="16" bestFit="1" customWidth="1"/>
    <col min="27" max="16384" width="8.6640625" style="16"/>
  </cols>
  <sheetData>
    <row r="1" spans="1:26" ht="21" customHeight="1">
      <c r="A1" s="34" t="s">
        <v>173</v>
      </c>
      <c r="B1" s="14" t="s">
        <v>174</v>
      </c>
      <c r="C1" s="14" t="s">
        <v>176</v>
      </c>
      <c r="D1" s="14" t="s">
        <v>175</v>
      </c>
      <c r="E1" s="34" t="s">
        <v>125</v>
      </c>
      <c r="F1" s="34" t="s">
        <v>126</v>
      </c>
      <c r="G1" s="41" t="s">
        <v>1</v>
      </c>
      <c r="H1" s="42" t="s">
        <v>124</v>
      </c>
      <c r="I1" s="41" t="s">
        <v>2</v>
      </c>
      <c r="J1" s="42" t="s">
        <v>119</v>
      </c>
      <c r="K1" s="41" t="s">
        <v>117</v>
      </c>
      <c r="L1" s="43" t="s">
        <v>120</v>
      </c>
      <c r="M1" s="43" t="s">
        <v>166</v>
      </c>
      <c r="N1" s="44" t="s">
        <v>3</v>
      </c>
      <c r="O1" s="44" t="s">
        <v>4</v>
      </c>
      <c r="P1" s="44" t="s">
        <v>5</v>
      </c>
      <c r="Q1" s="44" t="s">
        <v>6</v>
      </c>
      <c r="R1" s="44" t="s">
        <v>116</v>
      </c>
      <c r="S1" s="44" t="s">
        <v>115</v>
      </c>
      <c r="T1" s="44" t="s">
        <v>7</v>
      </c>
      <c r="U1" s="44" t="s">
        <v>8</v>
      </c>
      <c r="V1" s="45" t="s">
        <v>121</v>
      </c>
      <c r="W1" s="45" t="s">
        <v>122</v>
      </c>
      <c r="X1" s="45" t="s">
        <v>123</v>
      </c>
      <c r="Y1" s="46" t="s">
        <v>127</v>
      </c>
      <c r="Z1" s="46" t="s">
        <v>128</v>
      </c>
    </row>
    <row r="2" spans="1:26" ht="20" customHeight="1">
      <c r="A2" s="17"/>
      <c r="B2" s="17" t="s">
        <v>167</v>
      </c>
      <c r="C2" s="17"/>
      <c r="D2" s="17" t="s">
        <v>10</v>
      </c>
      <c r="E2" s="35"/>
      <c r="F2" s="35"/>
      <c r="G2" s="17"/>
      <c r="H2" s="35"/>
      <c r="I2" s="17"/>
      <c r="J2" s="17"/>
      <c r="K2" s="17"/>
      <c r="L2" s="17"/>
      <c r="M2" s="17"/>
      <c r="N2" s="17" t="str">
        <f>IF(O3=100%,"Completed",IF(N4="On Hold","On Hold",IF(N5="On Hold","On Hold",IF(N6="On Hold","On Hold",IF(N7="On Hold","On Hold",IF(N8="On Hold","On Hold",IF(N9="On Hold","On Hold",IF(O3&gt;0%,"In Progress","Not Started"))))))))</f>
        <v>Completed</v>
      </c>
      <c r="O2" s="18">
        <f>(O3*3+O4*5+O5+O6*IF(G2="LOW",13,IF(G2="MEDIUM",23,33)))/(9+IF(G2="LOW",13,IF(G2="MEDIUM",23,33)))</f>
        <v>1</v>
      </c>
      <c r="P2" s="19">
        <f>P3</f>
        <v>46360</v>
      </c>
      <c r="Q2" s="19">
        <f>Q6</f>
        <v>46187</v>
      </c>
      <c r="R2" s="19"/>
      <c r="S2" s="19"/>
      <c r="T2" s="17">
        <f t="shared" ref="T2:T6" ca="1" si="0">IF(N2="Cancelled","",IF(S2&lt;&gt;"",S2-Q2,IF(AND(N2&lt;&gt;"Completed",TODAY()&gt;Q2),TODAY()-Q2,0)))</f>
        <v>0</v>
      </c>
      <c r="U2" s="17" t="str">
        <f t="shared" ref="U2:U6" ca="1" si="1">IF(N2="Cancelled","Gray",IF(N2="On Hold","Red",IF(N2="Completed",IF(T2&gt;5,"Red",IF(T2&gt;0,"Amber","Green")),IF(T2&gt;5,"Red",IF(T2&gt;0,"Amber","Green")))))</f>
        <v>Green</v>
      </c>
      <c r="V2" s="35" t="s">
        <v>130</v>
      </c>
      <c r="W2" s="36"/>
      <c r="X2" s="36"/>
      <c r="Y2" s="37"/>
      <c r="Z2" s="35"/>
    </row>
    <row r="3" spans="1:26" ht="21" customHeight="1">
      <c r="A3" s="23"/>
      <c r="B3" s="23"/>
      <c r="C3" s="23"/>
      <c r="D3" s="23" t="s">
        <v>168</v>
      </c>
      <c r="E3" s="23"/>
      <c r="F3" s="23"/>
      <c r="G3" s="27"/>
      <c r="H3" s="21"/>
      <c r="I3" s="23"/>
      <c r="J3" s="23"/>
      <c r="K3" s="23"/>
      <c r="L3" s="23"/>
      <c r="M3" s="23"/>
      <c r="N3" s="27" t="s">
        <v>58</v>
      </c>
      <c r="O3" s="21">
        <f t="shared" ref="O3:O6" si="2">IF(N3="Completed",100%,IF(OR(N3="In Progress",N3="On Hold"),50%,0%))</f>
        <v>1</v>
      </c>
      <c r="P3" s="47">
        <v>46360</v>
      </c>
      <c r="Q3" s="47">
        <v>46187</v>
      </c>
      <c r="R3" s="23"/>
      <c r="S3" s="23"/>
      <c r="T3" s="20">
        <f t="shared" ca="1" si="0"/>
        <v>0</v>
      </c>
      <c r="U3" s="20" t="str">
        <f t="shared" ca="1" si="1"/>
        <v>Green</v>
      </c>
      <c r="V3" s="38" t="s">
        <v>130</v>
      </c>
      <c r="W3" s="23"/>
      <c r="X3" s="23"/>
      <c r="Y3" s="23"/>
      <c r="Z3" s="23"/>
    </row>
    <row r="4" spans="1:26" ht="21" customHeight="1">
      <c r="A4" s="23"/>
      <c r="B4" s="23"/>
      <c r="C4" s="23"/>
      <c r="D4" s="23" t="s">
        <v>169</v>
      </c>
      <c r="E4" s="23"/>
      <c r="F4" s="23"/>
      <c r="G4" s="23"/>
      <c r="H4" s="23"/>
      <c r="I4" s="23"/>
      <c r="J4" s="23"/>
      <c r="K4" s="23"/>
      <c r="L4" s="23"/>
      <c r="M4" s="23"/>
      <c r="N4" s="27" t="s">
        <v>58</v>
      </c>
      <c r="O4" s="21">
        <f t="shared" si="2"/>
        <v>1</v>
      </c>
      <c r="P4" s="47">
        <v>46360</v>
      </c>
      <c r="Q4" s="47">
        <v>46187</v>
      </c>
      <c r="R4" s="23"/>
      <c r="S4" s="23"/>
      <c r="T4" s="20">
        <f t="shared" ca="1" si="0"/>
        <v>0</v>
      </c>
      <c r="U4" s="20" t="str">
        <f t="shared" ca="1" si="1"/>
        <v>Green</v>
      </c>
      <c r="V4" s="38" t="s">
        <v>130</v>
      </c>
      <c r="W4" s="23"/>
      <c r="X4" s="23"/>
      <c r="Y4" s="23"/>
      <c r="Z4" s="23"/>
    </row>
    <row r="5" spans="1:26" ht="21" customHeight="1">
      <c r="A5" s="23"/>
      <c r="B5" s="23"/>
      <c r="C5" s="23"/>
      <c r="D5" s="23" t="s">
        <v>170</v>
      </c>
      <c r="E5" s="23"/>
      <c r="F5" s="23"/>
      <c r="G5" s="27"/>
      <c r="H5" s="21"/>
      <c r="I5" s="47"/>
      <c r="J5" s="47"/>
      <c r="K5" s="23"/>
      <c r="L5" s="23"/>
      <c r="M5" s="23"/>
      <c r="N5" s="27" t="s">
        <v>58</v>
      </c>
      <c r="O5" s="21">
        <f t="shared" si="2"/>
        <v>1</v>
      </c>
      <c r="P5" s="47">
        <v>46360</v>
      </c>
      <c r="Q5" s="47">
        <v>46187</v>
      </c>
      <c r="R5" s="23"/>
      <c r="S5" s="23"/>
      <c r="T5" s="20">
        <f t="shared" ca="1" si="0"/>
        <v>0</v>
      </c>
      <c r="U5" s="20" t="str">
        <f t="shared" ca="1" si="1"/>
        <v>Green</v>
      </c>
      <c r="V5" s="38" t="s">
        <v>130</v>
      </c>
      <c r="W5" s="23"/>
      <c r="X5" s="23"/>
      <c r="Y5" s="23"/>
      <c r="Z5" s="23"/>
    </row>
    <row r="6" spans="1:26" ht="21" customHeight="1">
      <c r="A6" s="23"/>
      <c r="B6" s="23"/>
      <c r="C6" s="23"/>
      <c r="D6" s="23" t="s">
        <v>171</v>
      </c>
      <c r="E6" s="23"/>
      <c r="F6" s="23"/>
      <c r="G6" s="27"/>
      <c r="H6" s="21"/>
      <c r="I6" s="47"/>
      <c r="J6" s="47"/>
      <c r="K6" s="23"/>
      <c r="L6" s="23"/>
      <c r="M6" s="23"/>
      <c r="N6" s="27" t="s">
        <v>58</v>
      </c>
      <c r="O6" s="21">
        <f t="shared" si="2"/>
        <v>1</v>
      </c>
      <c r="P6" s="47">
        <v>46360</v>
      </c>
      <c r="Q6" s="47">
        <v>46187</v>
      </c>
      <c r="R6" s="23"/>
      <c r="S6" s="23"/>
      <c r="T6" s="20">
        <f t="shared" ca="1" si="0"/>
        <v>0</v>
      </c>
      <c r="U6" s="20" t="str">
        <f t="shared" ca="1" si="1"/>
        <v>Green</v>
      </c>
      <c r="V6" s="38" t="s">
        <v>130</v>
      </c>
      <c r="W6" s="23"/>
      <c r="X6" s="23"/>
      <c r="Y6" s="23"/>
      <c r="Z6" s="23"/>
    </row>
    <row r="7" spans="1:26" ht="20" customHeight="1">
      <c r="A7" s="17"/>
      <c r="B7" s="17" t="s">
        <v>172</v>
      </c>
      <c r="C7" s="17"/>
      <c r="D7" s="17" t="s">
        <v>10</v>
      </c>
      <c r="E7" s="35"/>
      <c r="F7" s="35"/>
      <c r="G7" s="17"/>
      <c r="H7" s="35"/>
      <c r="I7" s="17"/>
      <c r="J7" s="17"/>
      <c r="K7" s="17"/>
      <c r="L7" s="17"/>
      <c r="M7" s="17"/>
      <c r="N7" s="20" t="str">
        <f>IF(O3=100%,"Completed",IF(N4="On Hold","On Hold",IF(N5="On Hold","On Hold",IF(N6="On Hold","On Hold",IF(N7="On Hold","On Hold",IF(N8="On Hold","On Hold",IF(N9="On Hold","On Hold",IF(O3&gt;0%,"In Progress","Not Started"))))))))</f>
        <v>Completed</v>
      </c>
      <c r="O7" s="18">
        <f>(O3*3+O4*5+O5+O6*IF(G2="LOW",13,IF(G2="MEDIUM",23,33)))/(9+IF(G2="LOW",13,IF(G2="MEDIUM",23,33)))</f>
        <v>1</v>
      </c>
      <c r="P7" s="19">
        <f>P8</f>
        <v>46360</v>
      </c>
      <c r="Q7" s="19">
        <f>Q11</f>
        <v>46187</v>
      </c>
      <c r="R7" s="19"/>
      <c r="S7" s="19"/>
      <c r="T7" s="48">
        <f ca="1">IF(N7="Cancelled","",IF(S7&lt;&gt;"",S7-Q7,IF(AND(N7&lt;&gt;"Completed",TODAY()&gt;Q7),TODAY()-Q7,0)))</f>
        <v>0</v>
      </c>
      <c r="U7" s="17" t="str">
        <f t="shared" ref="U7:U11" ca="1" si="3">IF(N7="Cancelled","Gray",IF(N7="On Hold","Red",IF(N7="Completed",IF(T7&gt;5,"Red",IF(T7&gt;0,"Amber","Green")),IF(T7&gt;5,"Red",IF(T7&gt;0,"Amber","Green")))))</f>
        <v>Green</v>
      </c>
      <c r="V7" s="35" t="s">
        <v>130</v>
      </c>
      <c r="W7" s="36"/>
      <c r="X7" s="36"/>
      <c r="Y7" s="37"/>
      <c r="Z7" s="35"/>
    </row>
    <row r="8" spans="1:26" ht="21" customHeight="1">
      <c r="A8" s="23"/>
      <c r="B8" s="23"/>
      <c r="C8" s="23"/>
      <c r="D8" s="23" t="s">
        <v>168</v>
      </c>
      <c r="E8" s="23"/>
      <c r="F8" s="23"/>
      <c r="G8" s="27"/>
      <c r="H8" s="21"/>
      <c r="I8" s="47"/>
      <c r="J8" s="47"/>
      <c r="K8" s="23"/>
      <c r="L8" s="23"/>
      <c r="M8" s="23"/>
      <c r="N8" s="27" t="s">
        <v>58</v>
      </c>
      <c r="O8" s="21">
        <f t="shared" ref="O8:O11" si="4">IF(N8="Completed",100%,IF(OR(N8="In Progress",N8="On Hold"),50%,0%))</f>
        <v>1</v>
      </c>
      <c r="P8" s="47">
        <v>46360</v>
      </c>
      <c r="Q8" s="47">
        <v>46187</v>
      </c>
      <c r="R8" s="23"/>
      <c r="S8" s="23"/>
      <c r="T8" s="20">
        <f ca="1">IF(N8="Cancelled","",IF(S8&lt;&gt;"",S8-Q8,IF(AND(N8&lt;&gt;"Completed",TODAY()&gt;Q8),TODAY()-Q8,0)))</f>
        <v>0</v>
      </c>
      <c r="U8" s="20" t="str">
        <f t="shared" ca="1" si="3"/>
        <v>Green</v>
      </c>
      <c r="V8" s="38" t="s">
        <v>130</v>
      </c>
      <c r="W8" s="23"/>
      <c r="X8" s="23"/>
      <c r="Y8" s="23"/>
      <c r="Z8" s="23"/>
    </row>
    <row r="9" spans="1:26" ht="21" customHeight="1">
      <c r="A9" s="23"/>
      <c r="B9" s="23"/>
      <c r="C9" s="23"/>
      <c r="D9" s="23" t="s">
        <v>169</v>
      </c>
      <c r="E9" s="23"/>
      <c r="F9" s="23"/>
      <c r="G9" s="27"/>
      <c r="H9" s="21"/>
      <c r="I9" s="47"/>
      <c r="J9" s="47"/>
      <c r="K9" s="23"/>
      <c r="L9" s="23"/>
      <c r="M9" s="23"/>
      <c r="N9" s="27" t="s">
        <v>58</v>
      </c>
      <c r="O9" s="21">
        <f t="shared" si="4"/>
        <v>1</v>
      </c>
      <c r="P9" s="47">
        <v>46360</v>
      </c>
      <c r="Q9" s="47">
        <v>46187</v>
      </c>
      <c r="R9" s="23"/>
      <c r="S9" s="23"/>
      <c r="T9" s="20">
        <f t="shared" ref="T9:T11" ca="1" si="5">IF(N9="Cancelled","",IF(S9&lt;&gt;"",S9-Q9,IF(AND(N9&lt;&gt;"Completed",TODAY()&gt;Q9),TODAY()-Q9,0)))</f>
        <v>0</v>
      </c>
      <c r="U9" s="20" t="str">
        <f t="shared" ca="1" si="3"/>
        <v>Green</v>
      </c>
      <c r="V9" s="38" t="s">
        <v>130</v>
      </c>
      <c r="W9" s="23"/>
      <c r="X9" s="23"/>
      <c r="Y9" s="23"/>
      <c r="Z9" s="23"/>
    </row>
    <row r="10" spans="1:26" ht="21" customHeight="1">
      <c r="A10" s="23"/>
      <c r="B10" s="23"/>
      <c r="C10" s="23"/>
      <c r="D10" s="23" t="s">
        <v>170</v>
      </c>
      <c r="E10" s="23"/>
      <c r="F10" s="23"/>
      <c r="G10" s="27"/>
      <c r="H10" s="21"/>
      <c r="I10" s="47"/>
      <c r="J10" s="47"/>
      <c r="K10" s="23"/>
      <c r="L10" s="23"/>
      <c r="M10" s="23"/>
      <c r="N10" s="27" t="s">
        <v>58</v>
      </c>
      <c r="O10" s="21">
        <f t="shared" si="4"/>
        <v>1</v>
      </c>
      <c r="P10" s="47">
        <v>46360</v>
      </c>
      <c r="Q10" s="47">
        <v>46187</v>
      </c>
      <c r="R10" s="23"/>
      <c r="S10" s="23"/>
      <c r="T10" s="20">
        <f t="shared" ca="1" si="5"/>
        <v>0</v>
      </c>
      <c r="U10" s="20" t="str">
        <f t="shared" ca="1" si="3"/>
        <v>Green</v>
      </c>
      <c r="V10" s="38" t="s">
        <v>130</v>
      </c>
      <c r="W10" s="23"/>
      <c r="X10" s="23"/>
      <c r="Y10" s="23"/>
      <c r="Z10" s="23"/>
    </row>
    <row r="11" spans="1:26" ht="21" customHeight="1">
      <c r="A11" s="23"/>
      <c r="B11" s="23"/>
      <c r="C11" s="23"/>
      <c r="D11" s="23" t="s">
        <v>171</v>
      </c>
      <c r="E11" s="23"/>
      <c r="F11" s="23"/>
      <c r="G11" s="27"/>
      <c r="H11" s="21"/>
      <c r="I11" s="47"/>
      <c r="J11" s="47"/>
      <c r="K11" s="23"/>
      <c r="L11" s="23"/>
      <c r="M11" s="23"/>
      <c r="N11" s="27" t="s">
        <v>58</v>
      </c>
      <c r="O11" s="21">
        <f t="shared" si="4"/>
        <v>1</v>
      </c>
      <c r="P11" s="47">
        <v>46360</v>
      </c>
      <c r="Q11" s="47">
        <v>46187</v>
      </c>
      <c r="R11" s="23"/>
      <c r="S11" s="23"/>
      <c r="T11" s="20">
        <f t="shared" ca="1" si="5"/>
        <v>0</v>
      </c>
      <c r="U11" s="20" t="str">
        <f t="shared" ca="1" si="3"/>
        <v>Green</v>
      </c>
      <c r="V11" s="38" t="s">
        <v>130</v>
      </c>
      <c r="W11" s="23"/>
      <c r="X11" s="23"/>
      <c r="Y11" s="23"/>
      <c r="Z11" s="23"/>
    </row>
    <row r="12" spans="1:26" ht="21" customHeight="1">
      <c r="A12" s="34" t="s">
        <v>118</v>
      </c>
      <c r="B12" s="14" t="s">
        <v>113</v>
      </c>
      <c r="C12" s="14" t="s">
        <v>177</v>
      </c>
      <c r="D12" s="14" t="s">
        <v>0</v>
      </c>
      <c r="E12" s="34" t="s">
        <v>125</v>
      </c>
      <c r="F12" s="34" t="s">
        <v>126</v>
      </c>
      <c r="G12" s="41" t="s">
        <v>1</v>
      </c>
      <c r="H12" s="42" t="s">
        <v>124</v>
      </c>
      <c r="I12" s="41" t="s">
        <v>2</v>
      </c>
      <c r="J12" s="42" t="s">
        <v>119</v>
      </c>
      <c r="K12" s="41" t="s">
        <v>117</v>
      </c>
      <c r="L12" s="43" t="s">
        <v>120</v>
      </c>
      <c r="M12" s="43" t="s">
        <v>166</v>
      </c>
      <c r="N12" s="44" t="s">
        <v>3</v>
      </c>
      <c r="O12" s="44" t="s">
        <v>4</v>
      </c>
      <c r="P12" s="44" t="s">
        <v>5</v>
      </c>
      <c r="Q12" s="44" t="s">
        <v>6</v>
      </c>
      <c r="R12" s="44" t="s">
        <v>116</v>
      </c>
      <c r="S12" s="44" t="s">
        <v>115</v>
      </c>
      <c r="T12" s="44" t="s">
        <v>7</v>
      </c>
      <c r="U12" s="44" t="s">
        <v>8</v>
      </c>
      <c r="V12" s="45" t="s">
        <v>121</v>
      </c>
      <c r="W12" s="45" t="s">
        <v>122</v>
      </c>
      <c r="X12" s="45" t="s">
        <v>123</v>
      </c>
      <c r="Y12" s="46" t="s">
        <v>127</v>
      </c>
      <c r="Z12" s="46" t="s">
        <v>128</v>
      </c>
    </row>
    <row r="13" spans="1:26" ht="20" customHeight="1">
      <c r="A13" s="17" t="s">
        <v>129</v>
      </c>
      <c r="B13" s="17" t="s">
        <v>52</v>
      </c>
      <c r="C13" s="17"/>
      <c r="D13" s="17" t="s">
        <v>10</v>
      </c>
      <c r="E13" s="35"/>
      <c r="F13" s="35"/>
      <c r="G13" s="17" t="str">
        <f>'Process Summary'!B4</f>
        <v>MEDIUM</v>
      </c>
      <c r="H13" s="35" t="s">
        <v>131</v>
      </c>
      <c r="I13" s="17" t="str">
        <f>'Process Summary'!C4</f>
        <v>Developer 1</v>
      </c>
      <c r="J13" s="17"/>
      <c r="K13" s="17"/>
      <c r="L13" s="17"/>
      <c r="M13" s="17"/>
      <c r="N13" s="17" t="str">
        <f>IF(O13=100%,"Completed",IF(N14="On Hold","On Hold",IF(N15="On Hold","On Hold",IF(N16="On Hold","On Hold",IF(N17="On Hold","On Hold",IF(N18="On Hold","On Hold",IF(N19="On Hold","On Hold",IF(O13&gt;0%,"In Progress","Not Started"))))))))</f>
        <v>Not Started</v>
      </c>
      <c r="O13" s="18">
        <f>(O14*3+O15*5+O16+O17*IF(G13="LOW",13,IF(G13="MEDIUM",23,33))+O18*2+O19)/(12+IF(G13="LOW",13,IF(G13="MEDIUM",23,33)))</f>
        <v>0</v>
      </c>
      <c r="P13" s="19">
        <f>'Process Summary'!G4</f>
        <v>46187</v>
      </c>
      <c r="Q13" s="19">
        <f>Q19</f>
        <v>46222</v>
      </c>
      <c r="R13" s="19" t="str">
        <f>IF(COUNT(R14:R19)=0,"",MIN(R14:R19))</f>
        <v/>
      </c>
      <c r="S13" s="19" t="str">
        <f>IF(COUNT(S14:S19)=0,"",MAX(S14:S19))</f>
        <v/>
      </c>
      <c r="T13" s="17">
        <f t="shared" ref="T13:T76" ca="1" si="6">IF(N13="Cancelled","",IF(S13&lt;&gt;"",S13-Q13,IF(AND(N13&lt;&gt;"Completed",TODAY()&gt;Q13),TODAY()-Q13,0)))</f>
        <v>11</v>
      </c>
      <c r="U13" s="17" t="str">
        <f t="shared" ref="U13:U76" ca="1" si="7">IF(N13="Cancelled","Gray",IF(N13="On Hold","Red",IF(N13="Completed",IF(T13&gt;5,"Red",IF(T13&gt;0,"Amber","Green")),IF(T13&gt;5,"Red",IF(T13&gt;0,"Amber","Green")))))</f>
        <v>Red</v>
      </c>
      <c r="V13" s="35" t="s">
        <v>130</v>
      </c>
      <c r="W13" s="36"/>
      <c r="X13" s="36"/>
      <c r="Y13" s="37">
        <v>46233.453472222223</v>
      </c>
      <c r="Z13" s="35" t="s">
        <v>132</v>
      </c>
    </row>
    <row r="14" spans="1:26" ht="21" customHeight="1">
      <c r="A14" s="38"/>
      <c r="B14" s="20"/>
      <c r="C14" s="20"/>
      <c r="D14" s="20" t="s">
        <v>107</v>
      </c>
      <c r="E14" s="38"/>
      <c r="F14" s="38"/>
      <c r="G14" s="20" t="str">
        <f>G13</f>
        <v>MEDIUM</v>
      </c>
      <c r="H14" s="38" t="s">
        <v>131</v>
      </c>
      <c r="I14" s="20" t="str">
        <f>I13</f>
        <v>Developer 1</v>
      </c>
      <c r="J14" s="20"/>
      <c r="K14" s="20" t="s">
        <v>133</v>
      </c>
      <c r="L14" s="20"/>
      <c r="M14" s="20"/>
      <c r="N14" s="27" t="s">
        <v>11</v>
      </c>
      <c r="O14" s="21">
        <f t="shared" ref="O14:O19" si="8">IF(N14="Completed",100%,IF(OR(N14="In Progress",N14="On Hold"),50%,0%))</f>
        <v>0</v>
      </c>
      <c r="P14" s="22">
        <f>P13</f>
        <v>46187</v>
      </c>
      <c r="Q14" s="22">
        <f>P14+(Settings!$B$5)-1+2*INT((WEEKDAY(P14,1)-1+(Settings!$B$5)-1)/5)</f>
        <v>46189</v>
      </c>
      <c r="R14" s="28"/>
      <c r="S14" s="28"/>
      <c r="T14" s="20">
        <f t="shared" ca="1" si="6"/>
        <v>44</v>
      </c>
      <c r="U14" s="20" t="str">
        <f t="shared" ca="1" si="7"/>
        <v>Red</v>
      </c>
      <c r="V14" s="38" t="s">
        <v>130</v>
      </c>
      <c r="W14" s="39"/>
      <c r="X14" s="39"/>
      <c r="Y14" s="40">
        <v>46233.453472222223</v>
      </c>
      <c r="Z14" s="38" t="s">
        <v>132</v>
      </c>
    </row>
    <row r="15" spans="1:26" ht="21" customHeight="1">
      <c r="A15" s="38"/>
      <c r="B15" s="20"/>
      <c r="C15" s="20"/>
      <c r="D15" s="20" t="s">
        <v>108</v>
      </c>
      <c r="E15" s="38"/>
      <c r="F15" s="38"/>
      <c r="G15" s="20" t="str">
        <f>G13</f>
        <v>MEDIUM</v>
      </c>
      <c r="H15" s="38" t="s">
        <v>131</v>
      </c>
      <c r="I15" s="20" t="str">
        <f>I13</f>
        <v>Developer 1</v>
      </c>
      <c r="J15" s="20"/>
      <c r="K15" s="20" t="s">
        <v>133</v>
      </c>
      <c r="L15" s="20"/>
      <c r="M15" s="20"/>
      <c r="N15" s="27" t="s">
        <v>11</v>
      </c>
      <c r="O15" s="21">
        <f t="shared" si="8"/>
        <v>0</v>
      </c>
      <c r="P15" s="22">
        <f>Q14+1+2*INT((WEEKDAY(Q14,1)-1+1)/5)</f>
        <v>46190</v>
      </c>
      <c r="Q15" s="22">
        <f>P15+(Settings!$B$6)-1+2*INT((WEEKDAY(P15,1)-1+(Settings!$B$6)-1)/5)</f>
        <v>46196</v>
      </c>
      <c r="R15" s="28"/>
      <c r="S15" s="28"/>
      <c r="T15" s="20">
        <f t="shared" ca="1" si="6"/>
        <v>37</v>
      </c>
      <c r="U15" s="20" t="str">
        <f t="shared" ca="1" si="7"/>
        <v>Red</v>
      </c>
      <c r="V15" s="38" t="s">
        <v>130</v>
      </c>
      <c r="W15" s="39"/>
      <c r="X15" s="39"/>
      <c r="Y15" s="40">
        <v>46233.453472222223</v>
      </c>
      <c r="Z15" s="38" t="s">
        <v>132</v>
      </c>
    </row>
    <row r="16" spans="1:26" ht="21" customHeight="1">
      <c r="A16" s="38"/>
      <c r="B16" s="20"/>
      <c r="C16" s="20"/>
      <c r="D16" s="20" t="s">
        <v>109</v>
      </c>
      <c r="E16" s="38"/>
      <c r="F16" s="38"/>
      <c r="G16" s="20" t="str">
        <f>G13</f>
        <v>MEDIUM</v>
      </c>
      <c r="H16" s="38" t="s">
        <v>131</v>
      </c>
      <c r="I16" s="20" t="str">
        <f>I13</f>
        <v>Developer 1</v>
      </c>
      <c r="J16" s="20"/>
      <c r="K16" s="20" t="s">
        <v>134</v>
      </c>
      <c r="L16" s="20"/>
      <c r="M16" s="23"/>
      <c r="N16" s="27" t="s">
        <v>11</v>
      </c>
      <c r="O16" s="21">
        <f t="shared" si="8"/>
        <v>0</v>
      </c>
      <c r="P16" s="22">
        <f>Q15+1+2*INT((WEEKDAY(Q15,1)-1+1)/5)</f>
        <v>46197</v>
      </c>
      <c r="Q16" s="22">
        <f>P16+(Settings!$B$7)-1+2*INT((WEEKDAY(P16,1)-1+(Settings!$B$7)-1)/5)</f>
        <v>46197</v>
      </c>
      <c r="R16" s="28"/>
      <c r="S16" s="28"/>
      <c r="T16" s="20">
        <f t="shared" ca="1" si="6"/>
        <v>36</v>
      </c>
      <c r="U16" s="20" t="str">
        <f t="shared" ca="1" si="7"/>
        <v>Red</v>
      </c>
      <c r="V16" s="38" t="s">
        <v>130</v>
      </c>
      <c r="W16" s="39"/>
      <c r="X16" s="39"/>
      <c r="Y16" s="40">
        <v>46233.453472222223</v>
      </c>
      <c r="Z16" s="38" t="s">
        <v>132</v>
      </c>
    </row>
    <row r="17" spans="1:26" ht="21" customHeight="1">
      <c r="A17" s="38"/>
      <c r="B17" s="20"/>
      <c r="C17" s="20"/>
      <c r="D17" s="20" t="s">
        <v>110</v>
      </c>
      <c r="E17" s="38"/>
      <c r="F17" s="38"/>
      <c r="G17" s="20" t="str">
        <f>G13</f>
        <v>MEDIUM</v>
      </c>
      <c r="H17" s="38" t="s">
        <v>131</v>
      </c>
      <c r="I17" s="20" t="str">
        <f>I13</f>
        <v>Developer 1</v>
      </c>
      <c r="J17" s="20"/>
      <c r="K17" s="20" t="s">
        <v>135</v>
      </c>
      <c r="L17" s="20"/>
      <c r="M17" s="20"/>
      <c r="N17" s="27" t="s">
        <v>11</v>
      </c>
      <c r="O17" s="21">
        <f t="shared" si="8"/>
        <v>0</v>
      </c>
      <c r="P17" s="22">
        <f>Q16+1+2*INT((WEEKDAY(Q16,1)-1+1)/5)</f>
        <v>46198</v>
      </c>
      <c r="Q17" s="22">
        <f>P17+(IF(G17="LOW",Settings!$B$8,IF(G17="MEDIUM",Settings!$B$9,Settings!$B$10)))-1+2*INT((WEEKDAY(P17,1)-1+(IF(G17="LOW",Settings!$B$8,IF(G17="MEDIUM",Settings!$B$9,Settings!$B$10)))-1)/5)</f>
        <v>46218</v>
      </c>
      <c r="R17" s="28"/>
      <c r="S17" s="28"/>
      <c r="T17" s="20">
        <f t="shared" ca="1" si="6"/>
        <v>15</v>
      </c>
      <c r="U17" s="20" t="str">
        <f t="shared" ca="1" si="7"/>
        <v>Red</v>
      </c>
      <c r="V17" s="38" t="s">
        <v>130</v>
      </c>
      <c r="W17" s="39"/>
      <c r="X17" s="39"/>
      <c r="Y17" s="40">
        <v>46233.453472222223</v>
      </c>
      <c r="Z17" s="38" t="s">
        <v>132</v>
      </c>
    </row>
    <row r="18" spans="1:26" ht="21" customHeight="1">
      <c r="A18" s="38"/>
      <c r="B18" s="20"/>
      <c r="C18" s="20"/>
      <c r="D18" s="20" t="s">
        <v>111</v>
      </c>
      <c r="E18" s="38"/>
      <c r="F18" s="38"/>
      <c r="G18" s="20" t="str">
        <f>G13</f>
        <v>MEDIUM</v>
      </c>
      <c r="H18" s="38" t="s">
        <v>131</v>
      </c>
      <c r="I18" s="20" t="str">
        <f>I13</f>
        <v>Developer 1</v>
      </c>
      <c r="J18" s="20"/>
      <c r="K18" s="20" t="s">
        <v>136</v>
      </c>
      <c r="L18" s="20"/>
      <c r="M18" s="20"/>
      <c r="N18" s="27" t="s">
        <v>11</v>
      </c>
      <c r="O18" s="21">
        <f t="shared" si="8"/>
        <v>0</v>
      </c>
      <c r="P18" s="22">
        <f>Q17+1+2*INT((WEEKDAY(Q17,1)-1+1)/5)</f>
        <v>46219</v>
      </c>
      <c r="Q18" s="22">
        <f>P18+(Settings!$B$11)-1+2*INT((WEEKDAY(P18,1)-1+(Settings!$B$11)-1)/5)</f>
        <v>46219</v>
      </c>
      <c r="R18" s="28"/>
      <c r="S18" s="28"/>
      <c r="T18" s="20">
        <f t="shared" ca="1" si="6"/>
        <v>14</v>
      </c>
      <c r="U18" s="20" t="str">
        <f t="shared" ca="1" si="7"/>
        <v>Red</v>
      </c>
      <c r="V18" s="38" t="s">
        <v>130</v>
      </c>
      <c r="W18" s="39"/>
      <c r="X18" s="39"/>
      <c r="Y18" s="40">
        <v>46233.453472222223</v>
      </c>
      <c r="Z18" s="38" t="s">
        <v>132</v>
      </c>
    </row>
    <row r="19" spans="1:26" ht="21" customHeight="1">
      <c r="A19" s="38"/>
      <c r="B19" s="20"/>
      <c r="C19" s="20"/>
      <c r="D19" s="20" t="s">
        <v>112</v>
      </c>
      <c r="E19" s="38"/>
      <c r="F19" s="38"/>
      <c r="G19" s="20" t="str">
        <f>G13</f>
        <v>MEDIUM</v>
      </c>
      <c r="H19" s="38" t="s">
        <v>131</v>
      </c>
      <c r="I19" s="20" t="str">
        <f>I13</f>
        <v>Developer 1</v>
      </c>
      <c r="J19" s="20"/>
      <c r="K19" s="20" t="s">
        <v>135</v>
      </c>
      <c r="L19" s="20"/>
      <c r="M19" s="20"/>
      <c r="N19" s="27" t="s">
        <v>11</v>
      </c>
      <c r="O19" s="21">
        <f t="shared" si="8"/>
        <v>0</v>
      </c>
      <c r="P19" s="22">
        <f>Q18+1+2*INT((WEEKDAY(Q18,1)-1+1)/5)</f>
        <v>46222</v>
      </c>
      <c r="Q19" s="22">
        <f>P19+(Settings!$B$12)-1+2*INT((WEEKDAY(P19,1)-1+(Settings!$B$12)-1)/5)</f>
        <v>46222</v>
      </c>
      <c r="R19" s="28"/>
      <c r="S19" s="28"/>
      <c r="T19" s="20">
        <f t="shared" ca="1" si="6"/>
        <v>11</v>
      </c>
      <c r="U19" s="20" t="str">
        <f t="shared" ca="1" si="7"/>
        <v>Red</v>
      </c>
      <c r="V19" s="38" t="s">
        <v>130</v>
      </c>
      <c r="W19" s="39"/>
      <c r="X19" s="39"/>
      <c r="Y19" s="40">
        <v>46233.453472222223</v>
      </c>
      <c r="Z19" s="38" t="s">
        <v>132</v>
      </c>
    </row>
    <row r="20" spans="1:26" ht="21" customHeight="1">
      <c r="A20" s="17" t="s">
        <v>137</v>
      </c>
      <c r="B20" s="17" t="s">
        <v>48</v>
      </c>
      <c r="C20" s="17"/>
      <c r="D20" s="17" t="s">
        <v>10</v>
      </c>
      <c r="E20" s="35"/>
      <c r="F20" s="35"/>
      <c r="G20" s="17" t="str">
        <f>'Process Summary'!B5</f>
        <v>LOW</v>
      </c>
      <c r="H20" s="35" t="s">
        <v>131</v>
      </c>
      <c r="I20" s="17" t="str">
        <f>'Process Summary'!C5</f>
        <v>Developer 2</v>
      </c>
      <c r="J20" s="17"/>
      <c r="K20" s="17"/>
      <c r="L20" s="17"/>
      <c r="M20" s="17"/>
      <c r="N20" s="17" t="str">
        <f>IF(O20=100%,"Completed",IF(N21="On Hold","On Hold",IF(N22="On Hold","On Hold",IF(N23="On Hold","On Hold",IF(N24="On Hold","On Hold",IF(N25="On Hold","On Hold",IF(N26="On Hold","On Hold",IF(O20&gt;0%,"In Progress","Not Started"))))))))</f>
        <v>Not Started</v>
      </c>
      <c r="O20" s="18">
        <f>(O21*3+O22*5+O23+O24*IF(G20="LOW",13,IF(G20="MEDIUM",23,33))+O25*2+O26)/(12+IF(G20="LOW",13,IF(G20="MEDIUM",23,33)))</f>
        <v>0</v>
      </c>
      <c r="P20" s="19">
        <f>'Process Summary'!G5</f>
        <v>46187</v>
      </c>
      <c r="Q20" s="19">
        <f>Q26</f>
        <v>46215</v>
      </c>
      <c r="R20" s="19" t="str">
        <f>IF(COUNT(R21:R26)=0,"",MIN(R21:R26))</f>
        <v/>
      </c>
      <c r="S20" s="19" t="str">
        <f>IF(COUNT(S21:S26)=0,"",MAX(S21:S26))</f>
        <v/>
      </c>
      <c r="T20" s="17">
        <f t="shared" ca="1" si="6"/>
        <v>18</v>
      </c>
      <c r="U20" s="17" t="str">
        <f t="shared" ca="1" si="7"/>
        <v>Red</v>
      </c>
      <c r="V20" s="35" t="s">
        <v>130</v>
      </c>
      <c r="W20" s="36"/>
      <c r="X20" s="36"/>
      <c r="Y20" s="37">
        <v>46233.453472222223</v>
      </c>
      <c r="Z20" s="35" t="s">
        <v>132</v>
      </c>
    </row>
    <row r="21" spans="1:26" ht="21" customHeight="1">
      <c r="A21" s="38"/>
      <c r="B21" s="20"/>
      <c r="C21" s="20"/>
      <c r="D21" s="20" t="s">
        <v>107</v>
      </c>
      <c r="E21" s="38"/>
      <c r="F21" s="38"/>
      <c r="G21" s="20" t="str">
        <f>G20</f>
        <v>LOW</v>
      </c>
      <c r="H21" s="38" t="s">
        <v>131</v>
      </c>
      <c r="I21" s="20" t="str">
        <f>I20</f>
        <v>Developer 2</v>
      </c>
      <c r="J21" s="20"/>
      <c r="K21" s="20" t="s">
        <v>133</v>
      </c>
      <c r="L21" s="20"/>
      <c r="M21" s="20"/>
      <c r="N21" s="27" t="s">
        <v>11</v>
      </c>
      <c r="O21" s="21">
        <f t="shared" ref="O21:O26" si="9">IF(N21="Completed",100%,IF(OR(N21="In Progress",N21="On Hold"),50%,0%))</f>
        <v>0</v>
      </c>
      <c r="P21" s="22">
        <f>P20</f>
        <v>46187</v>
      </c>
      <c r="Q21" s="22">
        <f>P21+(Settings!$B$5)-1+2*INT((WEEKDAY(P21,1)-1+(Settings!$B$5)-1)/5)</f>
        <v>46189</v>
      </c>
      <c r="R21" s="28"/>
      <c r="S21" s="28"/>
      <c r="T21" s="20">
        <f t="shared" ca="1" si="6"/>
        <v>44</v>
      </c>
      <c r="U21" s="20" t="str">
        <f t="shared" ca="1" si="7"/>
        <v>Red</v>
      </c>
      <c r="V21" s="38" t="s">
        <v>130</v>
      </c>
      <c r="W21" s="39"/>
      <c r="X21" s="39"/>
      <c r="Y21" s="40">
        <v>46233.453472222223</v>
      </c>
      <c r="Z21" s="38" t="s">
        <v>132</v>
      </c>
    </row>
    <row r="22" spans="1:26" ht="21" customHeight="1">
      <c r="A22" s="38"/>
      <c r="B22" s="20"/>
      <c r="C22" s="20"/>
      <c r="D22" s="20" t="s">
        <v>108</v>
      </c>
      <c r="E22" s="38"/>
      <c r="F22" s="38"/>
      <c r="G22" s="20" t="str">
        <f>G20</f>
        <v>LOW</v>
      </c>
      <c r="H22" s="38" t="s">
        <v>131</v>
      </c>
      <c r="I22" s="20" t="str">
        <f>I20</f>
        <v>Developer 2</v>
      </c>
      <c r="J22" s="20"/>
      <c r="K22" s="20" t="s">
        <v>133</v>
      </c>
      <c r="L22" s="20"/>
      <c r="M22" s="20"/>
      <c r="N22" s="27" t="s">
        <v>11</v>
      </c>
      <c r="O22" s="21">
        <f t="shared" si="9"/>
        <v>0</v>
      </c>
      <c r="P22" s="22">
        <f>Q21+1+2*INT((WEEKDAY(Q21,1)-1+1)/5)</f>
        <v>46190</v>
      </c>
      <c r="Q22" s="22">
        <f>P22+(Settings!$B$6)-1+2*INT((WEEKDAY(P22,1)-1+(Settings!$B$6)-1)/5)</f>
        <v>46196</v>
      </c>
      <c r="R22" s="28"/>
      <c r="S22" s="28"/>
      <c r="T22" s="20">
        <f t="shared" ca="1" si="6"/>
        <v>37</v>
      </c>
      <c r="U22" s="20" t="str">
        <f t="shared" ca="1" si="7"/>
        <v>Red</v>
      </c>
      <c r="V22" s="38" t="s">
        <v>130</v>
      </c>
      <c r="W22" s="39"/>
      <c r="X22" s="39"/>
      <c r="Y22" s="40">
        <v>46233.453472222223</v>
      </c>
      <c r="Z22" s="38" t="s">
        <v>132</v>
      </c>
    </row>
    <row r="23" spans="1:26" ht="21" customHeight="1">
      <c r="A23" s="38"/>
      <c r="B23" s="20"/>
      <c r="C23" s="20"/>
      <c r="D23" s="20" t="s">
        <v>109</v>
      </c>
      <c r="E23" s="38"/>
      <c r="F23" s="38"/>
      <c r="G23" s="20" t="str">
        <f>G20</f>
        <v>LOW</v>
      </c>
      <c r="H23" s="38" t="s">
        <v>131</v>
      </c>
      <c r="I23" s="20" t="str">
        <f>I20</f>
        <v>Developer 2</v>
      </c>
      <c r="J23" s="20"/>
      <c r="K23" s="20" t="s">
        <v>134</v>
      </c>
      <c r="L23" s="20"/>
      <c r="M23" s="23"/>
      <c r="N23" s="27" t="s">
        <v>11</v>
      </c>
      <c r="O23" s="21">
        <f t="shared" si="9"/>
        <v>0</v>
      </c>
      <c r="P23" s="22">
        <f>Q22+1+2*INT((WEEKDAY(Q22,1)-1+1)/5)</f>
        <v>46197</v>
      </c>
      <c r="Q23" s="22">
        <f>P23+(Settings!$B$7)-1+2*INT((WEEKDAY(P23,1)-1+(Settings!$B$7)-1)/5)</f>
        <v>46197</v>
      </c>
      <c r="R23" s="28"/>
      <c r="S23" s="28"/>
      <c r="T23" s="20">
        <f t="shared" ca="1" si="6"/>
        <v>36</v>
      </c>
      <c r="U23" s="20" t="str">
        <f t="shared" ca="1" si="7"/>
        <v>Red</v>
      </c>
      <c r="V23" s="38" t="s">
        <v>130</v>
      </c>
      <c r="W23" s="39"/>
      <c r="X23" s="39"/>
      <c r="Y23" s="40">
        <v>46233.453472222223</v>
      </c>
      <c r="Z23" s="38" t="s">
        <v>132</v>
      </c>
    </row>
    <row r="24" spans="1:26" ht="21" customHeight="1">
      <c r="A24" s="38"/>
      <c r="B24" s="20"/>
      <c r="C24" s="20"/>
      <c r="D24" s="20" t="s">
        <v>110</v>
      </c>
      <c r="E24" s="38"/>
      <c r="F24" s="38"/>
      <c r="G24" s="20" t="str">
        <f>G20</f>
        <v>LOW</v>
      </c>
      <c r="H24" s="38" t="s">
        <v>131</v>
      </c>
      <c r="I24" s="20" t="str">
        <f>I20</f>
        <v>Developer 2</v>
      </c>
      <c r="J24" s="20"/>
      <c r="K24" s="20" t="s">
        <v>135</v>
      </c>
      <c r="L24" s="20"/>
      <c r="M24" s="20"/>
      <c r="N24" s="27" t="s">
        <v>11</v>
      </c>
      <c r="O24" s="21">
        <f t="shared" si="9"/>
        <v>0</v>
      </c>
      <c r="P24" s="22">
        <f>Q23+1+2*INT((WEEKDAY(Q23,1)-1+1)/5)</f>
        <v>46198</v>
      </c>
      <c r="Q24" s="22">
        <f>P24+(IF(G24="LOW",Settings!$B$8,IF(G24="MEDIUM",Settings!$B$9,Settings!$B$10)))-1+2*INT((WEEKDAY(P24,1)-1+(IF(G24="LOW",Settings!$B$8,IF(G24="MEDIUM",Settings!$B$9,Settings!$B$10)))-1)/5)</f>
        <v>46211</v>
      </c>
      <c r="R24" s="28"/>
      <c r="S24" s="28"/>
      <c r="T24" s="20">
        <f t="shared" ca="1" si="6"/>
        <v>22</v>
      </c>
      <c r="U24" s="20" t="str">
        <f t="shared" ca="1" si="7"/>
        <v>Red</v>
      </c>
      <c r="V24" s="38" t="s">
        <v>130</v>
      </c>
      <c r="W24" s="39"/>
      <c r="X24" s="39"/>
      <c r="Y24" s="40">
        <v>46233.453472222223</v>
      </c>
      <c r="Z24" s="38" t="s">
        <v>132</v>
      </c>
    </row>
    <row r="25" spans="1:26" ht="21" customHeight="1">
      <c r="A25" s="38"/>
      <c r="B25" s="20"/>
      <c r="C25" s="20"/>
      <c r="D25" s="20" t="s">
        <v>111</v>
      </c>
      <c r="E25" s="38"/>
      <c r="F25" s="38"/>
      <c r="G25" s="20" t="str">
        <f>G20</f>
        <v>LOW</v>
      </c>
      <c r="H25" s="38" t="s">
        <v>131</v>
      </c>
      <c r="I25" s="20" t="str">
        <f>I20</f>
        <v>Developer 2</v>
      </c>
      <c r="J25" s="20"/>
      <c r="K25" s="20" t="s">
        <v>136</v>
      </c>
      <c r="L25" s="20"/>
      <c r="M25" s="20"/>
      <c r="N25" s="27" t="s">
        <v>11</v>
      </c>
      <c r="O25" s="21">
        <f t="shared" si="9"/>
        <v>0</v>
      </c>
      <c r="P25" s="22">
        <f>Q24+1+2*INT((WEEKDAY(Q24,1)-1+1)/5)</f>
        <v>46212</v>
      </c>
      <c r="Q25" s="22">
        <f>P25+(Settings!$B$11)-1+2*INT((WEEKDAY(P25,1)-1+(Settings!$B$11)-1)/5)</f>
        <v>46212</v>
      </c>
      <c r="R25" s="28"/>
      <c r="S25" s="28"/>
      <c r="T25" s="20">
        <f t="shared" ca="1" si="6"/>
        <v>21</v>
      </c>
      <c r="U25" s="20" t="str">
        <f t="shared" ca="1" si="7"/>
        <v>Red</v>
      </c>
      <c r="V25" s="38" t="s">
        <v>130</v>
      </c>
      <c r="W25" s="39"/>
      <c r="X25" s="39"/>
      <c r="Y25" s="40">
        <v>46233.453472222223</v>
      </c>
      <c r="Z25" s="38" t="s">
        <v>132</v>
      </c>
    </row>
    <row r="26" spans="1:26" ht="21" customHeight="1">
      <c r="A26" s="38"/>
      <c r="B26" s="20"/>
      <c r="C26" s="20"/>
      <c r="D26" s="20" t="s">
        <v>112</v>
      </c>
      <c r="E26" s="38"/>
      <c r="F26" s="38"/>
      <c r="G26" s="20" t="str">
        <f>G20</f>
        <v>LOW</v>
      </c>
      <c r="H26" s="38" t="s">
        <v>131</v>
      </c>
      <c r="I26" s="20" t="str">
        <f>I20</f>
        <v>Developer 2</v>
      </c>
      <c r="J26" s="20"/>
      <c r="K26" s="20" t="s">
        <v>135</v>
      </c>
      <c r="L26" s="20"/>
      <c r="M26" s="20"/>
      <c r="N26" s="27" t="s">
        <v>11</v>
      </c>
      <c r="O26" s="21">
        <f t="shared" si="9"/>
        <v>0</v>
      </c>
      <c r="P26" s="22">
        <f>Q25+1+2*INT((WEEKDAY(Q25,1)-1+1)/5)</f>
        <v>46215</v>
      </c>
      <c r="Q26" s="22">
        <f>P26+(Settings!$B$12)-1+2*INT((WEEKDAY(P26,1)-1+(Settings!$B$12)-1)/5)</f>
        <v>46215</v>
      </c>
      <c r="R26" s="28"/>
      <c r="S26" s="28"/>
      <c r="T26" s="20">
        <f t="shared" ca="1" si="6"/>
        <v>18</v>
      </c>
      <c r="U26" s="20" t="str">
        <f t="shared" ca="1" si="7"/>
        <v>Red</v>
      </c>
      <c r="V26" s="38" t="s">
        <v>130</v>
      </c>
      <c r="W26" s="39"/>
      <c r="X26" s="39"/>
      <c r="Y26" s="40">
        <v>46233.453472222223</v>
      </c>
      <c r="Z26" s="38" t="s">
        <v>132</v>
      </c>
    </row>
    <row r="27" spans="1:26" ht="21" customHeight="1">
      <c r="A27" s="17" t="s">
        <v>138</v>
      </c>
      <c r="B27" s="17" t="s">
        <v>52</v>
      </c>
      <c r="C27" s="17"/>
      <c r="D27" s="17" t="s">
        <v>10</v>
      </c>
      <c r="E27" s="35"/>
      <c r="F27" s="35"/>
      <c r="G27" s="17" t="str">
        <f>'Process Summary'!B6</f>
        <v>MEDIUM</v>
      </c>
      <c r="H27" s="35" t="s">
        <v>131</v>
      </c>
      <c r="I27" s="17" t="str">
        <f>'Process Summary'!C6</f>
        <v>Developer 3</v>
      </c>
      <c r="J27" s="17"/>
      <c r="K27" s="17"/>
      <c r="L27" s="17"/>
      <c r="M27" s="17"/>
      <c r="N27" s="17" t="str">
        <f>IF(O27=100%,"Completed",IF(N28="On Hold","On Hold",IF(N29="On Hold","On Hold",IF(N30="On Hold","On Hold",IF(N31="On Hold","On Hold",IF(N32="On Hold","On Hold",IF(N33="On Hold","On Hold",IF(O27&gt;0%,"In Progress","Not Started"))))))))</f>
        <v>Not Started</v>
      </c>
      <c r="O27" s="18">
        <f>(O28*3+O29*5+O30+O31*IF(G27="LOW",13,IF(G27="MEDIUM",23,33))+O32*2+O33)/(12+IF(G27="LOW",13,IF(G27="MEDIUM",23,33)))</f>
        <v>0</v>
      </c>
      <c r="P27" s="19">
        <f>'Process Summary'!G6</f>
        <v>46187</v>
      </c>
      <c r="Q27" s="19">
        <f>Q33</f>
        <v>46222</v>
      </c>
      <c r="R27" s="19" t="str">
        <f>IF(COUNT(R28:R33)=0,"",MIN(R28:R33))</f>
        <v/>
      </c>
      <c r="S27" s="19" t="str">
        <f>IF(COUNT(S28:S33)=0,"",MAX(S28:S33))</f>
        <v/>
      </c>
      <c r="T27" s="17">
        <f t="shared" ca="1" si="6"/>
        <v>11</v>
      </c>
      <c r="U27" s="17" t="str">
        <f t="shared" ca="1" si="7"/>
        <v>Red</v>
      </c>
      <c r="V27" s="35" t="s">
        <v>130</v>
      </c>
      <c r="W27" s="36"/>
      <c r="X27" s="36"/>
      <c r="Y27" s="37">
        <v>46233.453472222223</v>
      </c>
      <c r="Z27" s="35" t="s">
        <v>132</v>
      </c>
    </row>
    <row r="28" spans="1:26" ht="21" customHeight="1">
      <c r="A28" s="38"/>
      <c r="B28" s="20"/>
      <c r="C28" s="20"/>
      <c r="D28" s="20" t="s">
        <v>107</v>
      </c>
      <c r="E28" s="38"/>
      <c r="F28" s="38"/>
      <c r="G28" s="20" t="str">
        <f>G27</f>
        <v>MEDIUM</v>
      </c>
      <c r="H28" s="38" t="s">
        <v>131</v>
      </c>
      <c r="I28" s="20" t="str">
        <f>I27</f>
        <v>Developer 3</v>
      </c>
      <c r="J28" s="20"/>
      <c r="K28" s="20" t="s">
        <v>133</v>
      </c>
      <c r="L28" s="20"/>
      <c r="M28" s="20"/>
      <c r="N28" s="27" t="s">
        <v>11</v>
      </c>
      <c r="O28" s="21">
        <f t="shared" ref="O28:O33" si="10">IF(N28="Completed",100%,IF(OR(N28="In Progress",N28="On Hold"),50%,0%))</f>
        <v>0</v>
      </c>
      <c r="P28" s="22">
        <f>P27</f>
        <v>46187</v>
      </c>
      <c r="Q28" s="22">
        <f>P28+(Settings!$B$5)-1+2*INT((WEEKDAY(P28,1)-1+(Settings!$B$5)-1)/5)</f>
        <v>46189</v>
      </c>
      <c r="R28" s="28"/>
      <c r="S28" s="28"/>
      <c r="T28" s="20">
        <f t="shared" ca="1" si="6"/>
        <v>44</v>
      </c>
      <c r="U28" s="20" t="str">
        <f t="shared" ca="1" si="7"/>
        <v>Red</v>
      </c>
      <c r="V28" s="38" t="s">
        <v>130</v>
      </c>
      <c r="W28" s="39"/>
      <c r="X28" s="39"/>
      <c r="Y28" s="40">
        <v>46233.453472222223</v>
      </c>
      <c r="Z28" s="38" t="s">
        <v>132</v>
      </c>
    </row>
    <row r="29" spans="1:26" ht="21" customHeight="1">
      <c r="A29" s="38"/>
      <c r="B29" s="20"/>
      <c r="C29" s="20"/>
      <c r="D29" s="20" t="s">
        <v>108</v>
      </c>
      <c r="E29" s="38"/>
      <c r="F29" s="38"/>
      <c r="G29" s="20" t="str">
        <f>G27</f>
        <v>MEDIUM</v>
      </c>
      <c r="H29" s="38" t="s">
        <v>131</v>
      </c>
      <c r="I29" s="20" t="str">
        <f>I27</f>
        <v>Developer 3</v>
      </c>
      <c r="J29" s="20"/>
      <c r="K29" s="20" t="s">
        <v>133</v>
      </c>
      <c r="L29" s="20"/>
      <c r="M29" s="20"/>
      <c r="N29" s="27" t="s">
        <v>11</v>
      </c>
      <c r="O29" s="21">
        <f t="shared" si="10"/>
        <v>0</v>
      </c>
      <c r="P29" s="22">
        <f>Q28+1+2*INT((WEEKDAY(Q28,1)-1+1)/5)</f>
        <v>46190</v>
      </c>
      <c r="Q29" s="22">
        <f>P29+(Settings!$B$6)-1+2*INT((WEEKDAY(P29,1)-1+(Settings!$B$6)-1)/5)</f>
        <v>46196</v>
      </c>
      <c r="R29" s="28"/>
      <c r="S29" s="28"/>
      <c r="T29" s="20">
        <f t="shared" ca="1" si="6"/>
        <v>37</v>
      </c>
      <c r="U29" s="20" t="str">
        <f t="shared" ca="1" si="7"/>
        <v>Red</v>
      </c>
      <c r="V29" s="38" t="s">
        <v>130</v>
      </c>
      <c r="W29" s="39"/>
      <c r="X29" s="39"/>
      <c r="Y29" s="40">
        <v>46233.453472222223</v>
      </c>
      <c r="Z29" s="38" t="s">
        <v>132</v>
      </c>
    </row>
    <row r="30" spans="1:26" ht="21" customHeight="1">
      <c r="A30" s="38"/>
      <c r="B30" s="20"/>
      <c r="C30" s="20"/>
      <c r="D30" s="20" t="s">
        <v>109</v>
      </c>
      <c r="E30" s="38"/>
      <c r="F30" s="38"/>
      <c r="G30" s="20" t="str">
        <f>G27</f>
        <v>MEDIUM</v>
      </c>
      <c r="H30" s="38" t="s">
        <v>131</v>
      </c>
      <c r="I30" s="20" t="str">
        <f>I27</f>
        <v>Developer 3</v>
      </c>
      <c r="J30" s="20"/>
      <c r="K30" s="20" t="s">
        <v>134</v>
      </c>
      <c r="L30" s="20"/>
      <c r="M30" s="23"/>
      <c r="N30" s="27" t="s">
        <v>11</v>
      </c>
      <c r="O30" s="21">
        <f t="shared" si="10"/>
        <v>0</v>
      </c>
      <c r="P30" s="22">
        <f>Q29+1+2*INT((WEEKDAY(Q29,1)-1+1)/5)</f>
        <v>46197</v>
      </c>
      <c r="Q30" s="22">
        <f>P30+(Settings!$B$7)-1+2*INT((WEEKDAY(P30,1)-1+(Settings!$B$7)-1)/5)</f>
        <v>46197</v>
      </c>
      <c r="R30" s="28"/>
      <c r="S30" s="28"/>
      <c r="T30" s="20">
        <f t="shared" ca="1" si="6"/>
        <v>36</v>
      </c>
      <c r="U30" s="20" t="str">
        <f t="shared" ca="1" si="7"/>
        <v>Red</v>
      </c>
      <c r="V30" s="38" t="s">
        <v>130</v>
      </c>
      <c r="W30" s="39"/>
      <c r="X30" s="39"/>
      <c r="Y30" s="40">
        <v>46233.453472222223</v>
      </c>
      <c r="Z30" s="38" t="s">
        <v>132</v>
      </c>
    </row>
    <row r="31" spans="1:26" ht="21" customHeight="1">
      <c r="A31" s="38"/>
      <c r="B31" s="20"/>
      <c r="C31" s="20"/>
      <c r="D31" s="20" t="s">
        <v>110</v>
      </c>
      <c r="E31" s="38"/>
      <c r="F31" s="38"/>
      <c r="G31" s="20" t="str">
        <f>G27</f>
        <v>MEDIUM</v>
      </c>
      <c r="H31" s="38" t="s">
        <v>131</v>
      </c>
      <c r="I31" s="20" t="str">
        <f>I27</f>
        <v>Developer 3</v>
      </c>
      <c r="J31" s="20"/>
      <c r="K31" s="20" t="s">
        <v>135</v>
      </c>
      <c r="L31" s="20"/>
      <c r="M31" s="20"/>
      <c r="N31" s="27" t="s">
        <v>11</v>
      </c>
      <c r="O31" s="21">
        <f t="shared" si="10"/>
        <v>0</v>
      </c>
      <c r="P31" s="22">
        <f>Q30+1+2*INT((WEEKDAY(Q30,1)-1+1)/5)</f>
        <v>46198</v>
      </c>
      <c r="Q31" s="22">
        <f>P31+(IF(G31="LOW",Settings!$B$8,IF(G31="MEDIUM",Settings!$B$9,Settings!$B$10)))-1+2*INT((WEEKDAY(P31,1)-1+(IF(G31="LOW",Settings!$B$8,IF(G31="MEDIUM",Settings!$B$9,Settings!$B$10)))-1)/5)</f>
        <v>46218</v>
      </c>
      <c r="R31" s="28"/>
      <c r="S31" s="28"/>
      <c r="T31" s="20">
        <f t="shared" ca="1" si="6"/>
        <v>15</v>
      </c>
      <c r="U31" s="20" t="str">
        <f t="shared" ca="1" si="7"/>
        <v>Red</v>
      </c>
      <c r="V31" s="38" t="s">
        <v>130</v>
      </c>
      <c r="W31" s="39"/>
      <c r="X31" s="39"/>
      <c r="Y31" s="40">
        <v>46233.453472222223</v>
      </c>
      <c r="Z31" s="38" t="s">
        <v>132</v>
      </c>
    </row>
    <row r="32" spans="1:26" ht="21" customHeight="1">
      <c r="A32" s="38"/>
      <c r="B32" s="20"/>
      <c r="C32" s="20"/>
      <c r="D32" s="20" t="s">
        <v>111</v>
      </c>
      <c r="E32" s="38"/>
      <c r="F32" s="38"/>
      <c r="G32" s="20" t="str">
        <f>G27</f>
        <v>MEDIUM</v>
      </c>
      <c r="H32" s="38" t="s">
        <v>131</v>
      </c>
      <c r="I32" s="20" t="str">
        <f>I27</f>
        <v>Developer 3</v>
      </c>
      <c r="J32" s="20"/>
      <c r="K32" s="20" t="s">
        <v>136</v>
      </c>
      <c r="L32" s="20"/>
      <c r="M32" s="20"/>
      <c r="N32" s="27" t="s">
        <v>11</v>
      </c>
      <c r="O32" s="21">
        <f t="shared" si="10"/>
        <v>0</v>
      </c>
      <c r="P32" s="22">
        <f>Q31+1+2*INT((WEEKDAY(Q31,1)-1+1)/5)</f>
        <v>46219</v>
      </c>
      <c r="Q32" s="22">
        <f>P32+(Settings!$B$11)-1+2*INT((WEEKDAY(P32,1)-1+(Settings!$B$11)-1)/5)</f>
        <v>46219</v>
      </c>
      <c r="R32" s="28"/>
      <c r="S32" s="28"/>
      <c r="T32" s="20">
        <f t="shared" ca="1" si="6"/>
        <v>14</v>
      </c>
      <c r="U32" s="20" t="str">
        <f t="shared" ca="1" si="7"/>
        <v>Red</v>
      </c>
      <c r="V32" s="38" t="s">
        <v>130</v>
      </c>
      <c r="W32" s="39"/>
      <c r="X32" s="39"/>
      <c r="Y32" s="40">
        <v>46233.453472222223</v>
      </c>
      <c r="Z32" s="38" t="s">
        <v>132</v>
      </c>
    </row>
    <row r="33" spans="1:26" ht="21" customHeight="1">
      <c r="A33" s="38"/>
      <c r="B33" s="20"/>
      <c r="C33" s="20"/>
      <c r="D33" s="20" t="s">
        <v>112</v>
      </c>
      <c r="E33" s="38"/>
      <c r="F33" s="38"/>
      <c r="G33" s="20" t="str">
        <f>G27</f>
        <v>MEDIUM</v>
      </c>
      <c r="H33" s="38" t="s">
        <v>131</v>
      </c>
      <c r="I33" s="20" t="str">
        <f>I27</f>
        <v>Developer 3</v>
      </c>
      <c r="J33" s="20"/>
      <c r="K33" s="20" t="s">
        <v>135</v>
      </c>
      <c r="L33" s="20"/>
      <c r="M33" s="20"/>
      <c r="N33" s="27" t="s">
        <v>11</v>
      </c>
      <c r="O33" s="21">
        <f t="shared" si="10"/>
        <v>0</v>
      </c>
      <c r="P33" s="22">
        <f>Q32+1+2*INT((WEEKDAY(Q32,1)-1+1)/5)</f>
        <v>46222</v>
      </c>
      <c r="Q33" s="22">
        <f>P33+(Settings!$B$12)-1+2*INT((WEEKDAY(P33,1)-1+(Settings!$B$12)-1)/5)</f>
        <v>46222</v>
      </c>
      <c r="R33" s="28"/>
      <c r="S33" s="28"/>
      <c r="T33" s="20">
        <f t="shared" ca="1" si="6"/>
        <v>11</v>
      </c>
      <c r="U33" s="20" t="str">
        <f t="shared" ca="1" si="7"/>
        <v>Red</v>
      </c>
      <c r="V33" s="38" t="s">
        <v>130</v>
      </c>
      <c r="W33" s="39"/>
      <c r="X33" s="39"/>
      <c r="Y33" s="40">
        <v>46233.453472222223</v>
      </c>
      <c r="Z33" s="38" t="s">
        <v>132</v>
      </c>
    </row>
    <row r="34" spans="1:26" ht="21" customHeight="1">
      <c r="A34" s="17" t="s">
        <v>139</v>
      </c>
      <c r="B34" s="17" t="s">
        <v>52</v>
      </c>
      <c r="C34" s="17"/>
      <c r="D34" s="17" t="s">
        <v>10</v>
      </c>
      <c r="E34" s="35"/>
      <c r="F34" s="35"/>
      <c r="G34" s="17" t="str">
        <f>'Process Summary'!B7</f>
        <v>MEDIUM</v>
      </c>
      <c r="H34" s="35" t="s">
        <v>131</v>
      </c>
      <c r="I34" s="17" t="str">
        <f>'Process Summary'!C7</f>
        <v>Developer 4</v>
      </c>
      <c r="J34" s="17"/>
      <c r="K34" s="17"/>
      <c r="L34" s="17"/>
      <c r="M34" s="17"/>
      <c r="N34" s="17" t="str">
        <f>IF(O34=100%,"Completed",IF(N35="On Hold","On Hold",IF(N36="On Hold","On Hold",IF(N37="On Hold","On Hold",IF(N38="On Hold","On Hold",IF(N39="On Hold","On Hold",IF(N40="On Hold","On Hold",IF(O34&gt;0%,"In Progress","Not Started"))))))))</f>
        <v>Not Started</v>
      </c>
      <c r="O34" s="18">
        <f>(O35*3+O36*5+O37+O38*IF(G34="LOW",13,IF(G34="MEDIUM",23,33))+O39*2+O40)/(12+IF(G34="LOW",13,IF(G34="MEDIUM",23,33)))</f>
        <v>0</v>
      </c>
      <c r="P34" s="19">
        <f>'Process Summary'!G7</f>
        <v>46187</v>
      </c>
      <c r="Q34" s="19">
        <f>Q40</f>
        <v>46222</v>
      </c>
      <c r="R34" s="19" t="str">
        <f>IF(COUNT(R35:R40)=0,"",MIN(R35:R40))</f>
        <v/>
      </c>
      <c r="S34" s="19" t="str">
        <f>IF(COUNT(S35:S40)=0,"",MAX(S35:S40))</f>
        <v/>
      </c>
      <c r="T34" s="17">
        <f t="shared" ca="1" si="6"/>
        <v>11</v>
      </c>
      <c r="U34" s="17" t="str">
        <f t="shared" ca="1" si="7"/>
        <v>Red</v>
      </c>
      <c r="V34" s="35" t="s">
        <v>130</v>
      </c>
      <c r="W34" s="36"/>
      <c r="X34" s="36"/>
      <c r="Y34" s="37">
        <v>46233.453472222223</v>
      </c>
      <c r="Z34" s="35" t="s">
        <v>132</v>
      </c>
    </row>
    <row r="35" spans="1:26" ht="21" customHeight="1">
      <c r="A35" s="38"/>
      <c r="B35" s="20"/>
      <c r="C35" s="20"/>
      <c r="D35" s="20" t="s">
        <v>107</v>
      </c>
      <c r="E35" s="38"/>
      <c r="F35" s="38"/>
      <c r="G35" s="20" t="str">
        <f>G34</f>
        <v>MEDIUM</v>
      </c>
      <c r="H35" s="38" t="s">
        <v>131</v>
      </c>
      <c r="I35" s="20" t="str">
        <f>I34</f>
        <v>Developer 4</v>
      </c>
      <c r="J35" s="20"/>
      <c r="K35" s="20" t="s">
        <v>133</v>
      </c>
      <c r="L35" s="20"/>
      <c r="M35" s="20"/>
      <c r="N35" s="27" t="s">
        <v>11</v>
      </c>
      <c r="O35" s="21">
        <f t="shared" ref="O35:O40" si="11">IF(N35="Completed",100%,IF(OR(N35="In Progress",N35="On Hold"),50%,0%))</f>
        <v>0</v>
      </c>
      <c r="P35" s="22">
        <f>P34</f>
        <v>46187</v>
      </c>
      <c r="Q35" s="22">
        <f>P35+(Settings!$B$5)-1+2*INT((WEEKDAY(P35,1)-1+(Settings!$B$5)-1)/5)</f>
        <v>46189</v>
      </c>
      <c r="R35" s="28"/>
      <c r="S35" s="28"/>
      <c r="T35" s="20">
        <f t="shared" ca="1" si="6"/>
        <v>44</v>
      </c>
      <c r="U35" s="20" t="str">
        <f t="shared" ca="1" si="7"/>
        <v>Red</v>
      </c>
      <c r="V35" s="38" t="s">
        <v>130</v>
      </c>
      <c r="W35" s="39"/>
      <c r="X35" s="39"/>
      <c r="Y35" s="40">
        <v>46233.453472222223</v>
      </c>
      <c r="Z35" s="38" t="s">
        <v>132</v>
      </c>
    </row>
    <row r="36" spans="1:26" ht="21" customHeight="1">
      <c r="A36" s="38"/>
      <c r="B36" s="20"/>
      <c r="C36" s="20"/>
      <c r="D36" s="20" t="s">
        <v>108</v>
      </c>
      <c r="E36" s="38"/>
      <c r="F36" s="38"/>
      <c r="G36" s="20" t="str">
        <f>G34</f>
        <v>MEDIUM</v>
      </c>
      <c r="H36" s="38" t="s">
        <v>131</v>
      </c>
      <c r="I36" s="20" t="str">
        <f>I34</f>
        <v>Developer 4</v>
      </c>
      <c r="J36" s="20"/>
      <c r="K36" s="20" t="s">
        <v>133</v>
      </c>
      <c r="L36" s="20"/>
      <c r="M36" s="20"/>
      <c r="N36" s="27" t="s">
        <v>11</v>
      </c>
      <c r="O36" s="21">
        <f t="shared" si="11"/>
        <v>0</v>
      </c>
      <c r="P36" s="22">
        <f>Q35+1+2*INT((WEEKDAY(Q35,1)-1+1)/5)</f>
        <v>46190</v>
      </c>
      <c r="Q36" s="22">
        <f>P36+(Settings!$B$6)-1+2*INT((WEEKDAY(P36,1)-1+(Settings!$B$6)-1)/5)</f>
        <v>46196</v>
      </c>
      <c r="R36" s="28"/>
      <c r="S36" s="28"/>
      <c r="T36" s="20">
        <f t="shared" ca="1" si="6"/>
        <v>37</v>
      </c>
      <c r="U36" s="20" t="str">
        <f t="shared" ca="1" si="7"/>
        <v>Red</v>
      </c>
      <c r="V36" s="38" t="s">
        <v>130</v>
      </c>
      <c r="W36" s="39"/>
      <c r="X36" s="39"/>
      <c r="Y36" s="40">
        <v>46233.453472222223</v>
      </c>
      <c r="Z36" s="38" t="s">
        <v>132</v>
      </c>
    </row>
    <row r="37" spans="1:26" ht="21" customHeight="1">
      <c r="A37" s="38"/>
      <c r="B37" s="20"/>
      <c r="C37" s="20"/>
      <c r="D37" s="20" t="s">
        <v>109</v>
      </c>
      <c r="E37" s="38"/>
      <c r="F37" s="38"/>
      <c r="G37" s="20" t="str">
        <f>G34</f>
        <v>MEDIUM</v>
      </c>
      <c r="H37" s="38" t="s">
        <v>131</v>
      </c>
      <c r="I37" s="20" t="str">
        <f>I34</f>
        <v>Developer 4</v>
      </c>
      <c r="J37" s="20"/>
      <c r="K37" s="20" t="s">
        <v>134</v>
      </c>
      <c r="L37" s="20"/>
      <c r="M37" s="23"/>
      <c r="N37" s="27" t="s">
        <v>11</v>
      </c>
      <c r="O37" s="21">
        <f t="shared" si="11"/>
        <v>0</v>
      </c>
      <c r="P37" s="22">
        <f>Q36+1+2*INT((WEEKDAY(Q36,1)-1+1)/5)</f>
        <v>46197</v>
      </c>
      <c r="Q37" s="22">
        <f>P37+(Settings!$B$7)-1+2*INT((WEEKDAY(P37,1)-1+(Settings!$B$7)-1)/5)</f>
        <v>46197</v>
      </c>
      <c r="R37" s="28"/>
      <c r="S37" s="28"/>
      <c r="T37" s="20">
        <f t="shared" ca="1" si="6"/>
        <v>36</v>
      </c>
      <c r="U37" s="20" t="str">
        <f t="shared" ca="1" si="7"/>
        <v>Red</v>
      </c>
      <c r="V37" s="38" t="s">
        <v>130</v>
      </c>
      <c r="W37" s="39"/>
      <c r="X37" s="39"/>
      <c r="Y37" s="40">
        <v>46233.453472222223</v>
      </c>
      <c r="Z37" s="38" t="s">
        <v>132</v>
      </c>
    </row>
    <row r="38" spans="1:26" ht="21" customHeight="1">
      <c r="A38" s="38"/>
      <c r="B38" s="20"/>
      <c r="C38" s="20"/>
      <c r="D38" s="20" t="s">
        <v>110</v>
      </c>
      <c r="E38" s="38"/>
      <c r="F38" s="38"/>
      <c r="G38" s="20" t="str">
        <f>G34</f>
        <v>MEDIUM</v>
      </c>
      <c r="H38" s="38" t="s">
        <v>131</v>
      </c>
      <c r="I38" s="20" t="str">
        <f>I34</f>
        <v>Developer 4</v>
      </c>
      <c r="J38" s="20"/>
      <c r="K38" s="20" t="s">
        <v>135</v>
      </c>
      <c r="L38" s="20"/>
      <c r="M38" s="20"/>
      <c r="N38" s="27" t="s">
        <v>11</v>
      </c>
      <c r="O38" s="21">
        <f t="shared" si="11"/>
        <v>0</v>
      </c>
      <c r="P38" s="22">
        <f>Q37+1+2*INT((WEEKDAY(Q37,1)-1+1)/5)</f>
        <v>46198</v>
      </c>
      <c r="Q38" s="22">
        <f>P38+(IF(G38="LOW",Settings!$B$8,IF(G38="MEDIUM",Settings!$B$9,Settings!$B$10)))-1+2*INT((WEEKDAY(P38,1)-1+(IF(G38="LOW",Settings!$B$8,IF(G38="MEDIUM",Settings!$B$9,Settings!$B$10)))-1)/5)</f>
        <v>46218</v>
      </c>
      <c r="R38" s="28"/>
      <c r="S38" s="28"/>
      <c r="T38" s="20">
        <f t="shared" ca="1" si="6"/>
        <v>15</v>
      </c>
      <c r="U38" s="20" t="str">
        <f t="shared" ca="1" si="7"/>
        <v>Red</v>
      </c>
      <c r="V38" s="38" t="s">
        <v>130</v>
      </c>
      <c r="W38" s="39"/>
      <c r="X38" s="39"/>
      <c r="Y38" s="40">
        <v>46233.453472222223</v>
      </c>
      <c r="Z38" s="38" t="s">
        <v>132</v>
      </c>
    </row>
    <row r="39" spans="1:26" ht="21" customHeight="1">
      <c r="A39" s="38"/>
      <c r="B39" s="20"/>
      <c r="C39" s="20"/>
      <c r="D39" s="20" t="s">
        <v>111</v>
      </c>
      <c r="E39" s="38"/>
      <c r="F39" s="38"/>
      <c r="G39" s="20" t="str">
        <f>G34</f>
        <v>MEDIUM</v>
      </c>
      <c r="H39" s="38" t="s">
        <v>131</v>
      </c>
      <c r="I39" s="20" t="str">
        <f>I34</f>
        <v>Developer 4</v>
      </c>
      <c r="J39" s="20"/>
      <c r="K39" s="20" t="s">
        <v>136</v>
      </c>
      <c r="L39" s="20"/>
      <c r="M39" s="20"/>
      <c r="N39" s="27" t="s">
        <v>11</v>
      </c>
      <c r="O39" s="21">
        <f t="shared" si="11"/>
        <v>0</v>
      </c>
      <c r="P39" s="22">
        <f>Q38+1+2*INT((WEEKDAY(Q38,1)-1+1)/5)</f>
        <v>46219</v>
      </c>
      <c r="Q39" s="22">
        <f>P39+(Settings!$B$11)-1+2*INT((WEEKDAY(P39,1)-1+(Settings!$B$11)-1)/5)</f>
        <v>46219</v>
      </c>
      <c r="R39" s="28"/>
      <c r="S39" s="28"/>
      <c r="T39" s="20">
        <f t="shared" ca="1" si="6"/>
        <v>14</v>
      </c>
      <c r="U39" s="20" t="str">
        <f t="shared" ca="1" si="7"/>
        <v>Red</v>
      </c>
      <c r="V39" s="38" t="s">
        <v>130</v>
      </c>
      <c r="W39" s="39"/>
      <c r="X39" s="39"/>
      <c r="Y39" s="40">
        <v>46233.453472222223</v>
      </c>
      <c r="Z39" s="38" t="s">
        <v>132</v>
      </c>
    </row>
    <row r="40" spans="1:26" ht="21" customHeight="1">
      <c r="A40" s="38"/>
      <c r="B40" s="20"/>
      <c r="C40" s="20"/>
      <c r="D40" s="20" t="s">
        <v>112</v>
      </c>
      <c r="E40" s="38"/>
      <c r="F40" s="38"/>
      <c r="G40" s="20" t="str">
        <f>G34</f>
        <v>MEDIUM</v>
      </c>
      <c r="H40" s="38" t="s">
        <v>131</v>
      </c>
      <c r="I40" s="20" t="str">
        <f>I34</f>
        <v>Developer 4</v>
      </c>
      <c r="J40" s="20"/>
      <c r="K40" s="20" t="s">
        <v>135</v>
      </c>
      <c r="L40" s="20"/>
      <c r="M40" s="20"/>
      <c r="N40" s="27" t="s">
        <v>11</v>
      </c>
      <c r="O40" s="21">
        <f t="shared" si="11"/>
        <v>0</v>
      </c>
      <c r="P40" s="22">
        <f>Q39+1+2*INT((WEEKDAY(Q39,1)-1+1)/5)</f>
        <v>46222</v>
      </c>
      <c r="Q40" s="22">
        <f>P40+(Settings!$B$12)-1+2*INT((WEEKDAY(P40,1)-1+(Settings!$B$12)-1)/5)</f>
        <v>46222</v>
      </c>
      <c r="R40" s="28"/>
      <c r="S40" s="28"/>
      <c r="T40" s="20">
        <f t="shared" ca="1" si="6"/>
        <v>11</v>
      </c>
      <c r="U40" s="20" t="str">
        <f t="shared" ca="1" si="7"/>
        <v>Red</v>
      </c>
      <c r="V40" s="38" t="s">
        <v>130</v>
      </c>
      <c r="W40" s="39"/>
      <c r="X40" s="39"/>
      <c r="Y40" s="40">
        <v>46233.453472222223</v>
      </c>
      <c r="Z40" s="38" t="s">
        <v>132</v>
      </c>
    </row>
    <row r="41" spans="1:26" ht="21" customHeight="1">
      <c r="A41" s="17" t="s">
        <v>140</v>
      </c>
      <c r="B41" s="17" t="s">
        <v>56</v>
      </c>
      <c r="C41" s="17"/>
      <c r="D41" s="17" t="s">
        <v>10</v>
      </c>
      <c r="E41" s="35"/>
      <c r="F41" s="35"/>
      <c r="G41" s="17" t="str">
        <f>'Process Summary'!B8</f>
        <v>HIGH</v>
      </c>
      <c r="H41" s="35" t="s">
        <v>131</v>
      </c>
      <c r="I41" s="17" t="str">
        <f>'Process Summary'!C8</f>
        <v>Developer 2</v>
      </c>
      <c r="J41" s="17"/>
      <c r="K41" s="17"/>
      <c r="L41" s="17"/>
      <c r="M41" s="17"/>
      <c r="N41" s="17" t="str">
        <f>IF(O41=100%,"Completed",IF(N42="On Hold","On Hold",IF(N43="On Hold","On Hold",IF(N44="On Hold","On Hold",IF(N45="On Hold","On Hold",IF(N46="On Hold","On Hold",IF(N47="On Hold","On Hold",IF(O41&gt;0%,"In Progress","Not Started"))))))))</f>
        <v>Not Started</v>
      </c>
      <c r="O41" s="18">
        <f>(O42*3+O43*5+O44+O45*IF(G41="LOW",13,IF(G41="MEDIUM",23,33))+O46*2+O47)/(12+IF(G41="LOW",13,IF(G41="MEDIUM",23,33)))</f>
        <v>0</v>
      </c>
      <c r="P41" s="19">
        <f>'Process Summary'!G8</f>
        <v>46216</v>
      </c>
      <c r="Q41" s="19">
        <f>Q47</f>
        <v>46258</v>
      </c>
      <c r="R41" s="19" t="str">
        <f>IF(COUNT(R42:R47)=0,"",MIN(R42:R47))</f>
        <v/>
      </c>
      <c r="S41" s="19" t="str">
        <f>IF(COUNT(S42:S47)=0,"",MAX(S42:S47))</f>
        <v/>
      </c>
      <c r="T41" s="17">
        <f t="shared" ca="1" si="6"/>
        <v>0</v>
      </c>
      <c r="U41" s="17" t="str">
        <f t="shared" ca="1" si="7"/>
        <v>Green</v>
      </c>
      <c r="V41" s="35" t="s">
        <v>130</v>
      </c>
      <c r="W41" s="36"/>
      <c r="X41" s="36"/>
      <c r="Y41" s="37">
        <v>46233.453472222223</v>
      </c>
      <c r="Z41" s="35" t="s">
        <v>132</v>
      </c>
    </row>
    <row r="42" spans="1:26" ht="21" customHeight="1">
      <c r="A42" s="38"/>
      <c r="B42" s="20"/>
      <c r="C42" s="20"/>
      <c r="D42" s="20" t="s">
        <v>107</v>
      </c>
      <c r="E42" s="38"/>
      <c r="F42" s="38"/>
      <c r="G42" s="20" t="str">
        <f>G41</f>
        <v>HIGH</v>
      </c>
      <c r="H42" s="38" t="s">
        <v>131</v>
      </c>
      <c r="I42" s="20" t="str">
        <f>I41</f>
        <v>Developer 2</v>
      </c>
      <c r="J42" s="20"/>
      <c r="K42" s="20" t="s">
        <v>133</v>
      </c>
      <c r="L42" s="20"/>
      <c r="M42" s="20"/>
      <c r="N42" s="27" t="s">
        <v>11</v>
      </c>
      <c r="O42" s="21">
        <f t="shared" ref="O42:O47" si="12">IF(N42="Completed",100%,IF(OR(N42="In Progress",N42="On Hold"),50%,0%))</f>
        <v>0</v>
      </c>
      <c r="P42" s="22">
        <f>P41</f>
        <v>46216</v>
      </c>
      <c r="Q42" s="22">
        <f>P42+(Settings!$B$5)-1+2*INT((WEEKDAY(P42,1)-1+(Settings!$B$5)-1)/5)</f>
        <v>46218</v>
      </c>
      <c r="R42" s="28"/>
      <c r="S42" s="28"/>
      <c r="T42" s="20">
        <f t="shared" ca="1" si="6"/>
        <v>15</v>
      </c>
      <c r="U42" s="20" t="str">
        <f t="shared" ca="1" si="7"/>
        <v>Red</v>
      </c>
      <c r="V42" s="38" t="s">
        <v>130</v>
      </c>
      <c r="W42" s="39"/>
      <c r="X42" s="39"/>
      <c r="Y42" s="40">
        <v>46233.453472222223</v>
      </c>
      <c r="Z42" s="38" t="s">
        <v>132</v>
      </c>
    </row>
    <row r="43" spans="1:26" ht="21" customHeight="1">
      <c r="A43" s="38"/>
      <c r="B43" s="20"/>
      <c r="C43" s="20"/>
      <c r="D43" s="20" t="s">
        <v>108</v>
      </c>
      <c r="E43" s="38"/>
      <c r="F43" s="38"/>
      <c r="G43" s="20" t="str">
        <f>G41</f>
        <v>HIGH</v>
      </c>
      <c r="H43" s="38" t="s">
        <v>131</v>
      </c>
      <c r="I43" s="20" t="str">
        <f>I41</f>
        <v>Developer 2</v>
      </c>
      <c r="J43" s="20"/>
      <c r="K43" s="20" t="s">
        <v>133</v>
      </c>
      <c r="L43" s="20"/>
      <c r="M43" s="20"/>
      <c r="N43" s="27" t="s">
        <v>11</v>
      </c>
      <c r="O43" s="21">
        <f t="shared" si="12"/>
        <v>0</v>
      </c>
      <c r="P43" s="22">
        <f>Q42+1+2*INT((WEEKDAY(Q42,1)-1+1)/5)</f>
        <v>46219</v>
      </c>
      <c r="Q43" s="22">
        <f>P43+(Settings!$B$6)-1+2*INT((WEEKDAY(P43,1)-1+(Settings!$B$6)-1)/5)</f>
        <v>46225</v>
      </c>
      <c r="R43" s="28"/>
      <c r="S43" s="28"/>
      <c r="T43" s="20">
        <f t="shared" ca="1" si="6"/>
        <v>8</v>
      </c>
      <c r="U43" s="20" t="str">
        <f t="shared" ca="1" si="7"/>
        <v>Red</v>
      </c>
      <c r="V43" s="38" t="s">
        <v>130</v>
      </c>
      <c r="W43" s="39"/>
      <c r="X43" s="39"/>
      <c r="Y43" s="40">
        <v>46233.453472222223</v>
      </c>
      <c r="Z43" s="38" t="s">
        <v>132</v>
      </c>
    </row>
    <row r="44" spans="1:26" ht="21" customHeight="1">
      <c r="A44" s="38"/>
      <c r="B44" s="20"/>
      <c r="C44" s="20"/>
      <c r="D44" s="20" t="s">
        <v>109</v>
      </c>
      <c r="E44" s="38"/>
      <c r="F44" s="38"/>
      <c r="G44" s="20" t="str">
        <f>G41</f>
        <v>HIGH</v>
      </c>
      <c r="H44" s="38" t="s">
        <v>131</v>
      </c>
      <c r="I44" s="20" t="str">
        <f>I41</f>
        <v>Developer 2</v>
      </c>
      <c r="J44" s="20"/>
      <c r="K44" s="20" t="s">
        <v>134</v>
      </c>
      <c r="L44" s="20"/>
      <c r="M44" s="23"/>
      <c r="N44" s="27" t="s">
        <v>11</v>
      </c>
      <c r="O44" s="21">
        <f t="shared" si="12"/>
        <v>0</v>
      </c>
      <c r="P44" s="22">
        <f>Q43+1+2*INT((WEEKDAY(Q43,1)-1+1)/5)</f>
        <v>46226</v>
      </c>
      <c r="Q44" s="22">
        <f>P44+(Settings!$B$7)-1+2*INT((WEEKDAY(P44,1)-1+(Settings!$B$7)-1)/5)</f>
        <v>46226</v>
      </c>
      <c r="R44" s="28"/>
      <c r="S44" s="28"/>
      <c r="T44" s="20">
        <f t="shared" ca="1" si="6"/>
        <v>7</v>
      </c>
      <c r="U44" s="20" t="str">
        <f t="shared" ca="1" si="7"/>
        <v>Red</v>
      </c>
      <c r="V44" s="38" t="s">
        <v>130</v>
      </c>
      <c r="W44" s="39"/>
      <c r="X44" s="39"/>
      <c r="Y44" s="40">
        <v>46233.453472222223</v>
      </c>
      <c r="Z44" s="38" t="s">
        <v>132</v>
      </c>
    </row>
    <row r="45" spans="1:26" ht="21" customHeight="1">
      <c r="A45" s="38"/>
      <c r="B45" s="20"/>
      <c r="C45" s="20"/>
      <c r="D45" s="20" t="s">
        <v>110</v>
      </c>
      <c r="E45" s="38"/>
      <c r="F45" s="38"/>
      <c r="G45" s="20" t="str">
        <f>G41</f>
        <v>HIGH</v>
      </c>
      <c r="H45" s="38" t="s">
        <v>131</v>
      </c>
      <c r="I45" s="20" t="str">
        <f>I41</f>
        <v>Developer 2</v>
      </c>
      <c r="J45" s="20"/>
      <c r="K45" s="20" t="s">
        <v>135</v>
      </c>
      <c r="L45" s="20"/>
      <c r="M45" s="20"/>
      <c r="N45" s="27" t="s">
        <v>11</v>
      </c>
      <c r="O45" s="21">
        <f t="shared" si="12"/>
        <v>0</v>
      </c>
      <c r="P45" s="22">
        <f>Q44+1+2*INT((WEEKDAY(Q44,1)-1+1)/5)</f>
        <v>46229</v>
      </c>
      <c r="Q45" s="22">
        <f>P45+(IF(G45="LOW",Settings!$B$8,IF(G45="MEDIUM",Settings!$B$9,Settings!$B$10)))-1+2*INT((WEEKDAY(P45,1)-1+(IF(G45="LOW",Settings!$B$8,IF(G45="MEDIUM",Settings!$B$9,Settings!$B$10)))-1)/5)</f>
        <v>46254</v>
      </c>
      <c r="R45" s="28"/>
      <c r="S45" s="28"/>
      <c r="T45" s="20">
        <f t="shared" ca="1" si="6"/>
        <v>0</v>
      </c>
      <c r="U45" s="20" t="str">
        <f t="shared" ca="1" si="7"/>
        <v>Green</v>
      </c>
      <c r="V45" s="38" t="s">
        <v>130</v>
      </c>
      <c r="W45" s="39"/>
      <c r="X45" s="39"/>
      <c r="Y45" s="40">
        <v>46233.453472222223</v>
      </c>
      <c r="Z45" s="38" t="s">
        <v>132</v>
      </c>
    </row>
    <row r="46" spans="1:26" ht="21" customHeight="1">
      <c r="A46" s="38"/>
      <c r="B46" s="20"/>
      <c r="C46" s="20"/>
      <c r="D46" s="20" t="s">
        <v>111</v>
      </c>
      <c r="E46" s="38"/>
      <c r="F46" s="38"/>
      <c r="G46" s="20" t="str">
        <f>G41</f>
        <v>HIGH</v>
      </c>
      <c r="H46" s="38" t="s">
        <v>131</v>
      </c>
      <c r="I46" s="20" t="str">
        <f>I41</f>
        <v>Developer 2</v>
      </c>
      <c r="J46" s="20"/>
      <c r="K46" s="20" t="s">
        <v>136</v>
      </c>
      <c r="L46" s="20"/>
      <c r="M46" s="20"/>
      <c r="N46" s="27" t="s">
        <v>11</v>
      </c>
      <c r="O46" s="21">
        <f t="shared" si="12"/>
        <v>0</v>
      </c>
      <c r="P46" s="22">
        <f>Q45+1+2*INT((WEEKDAY(Q45,1)-1+1)/5)</f>
        <v>46257</v>
      </c>
      <c r="Q46" s="22">
        <f>P46+(Settings!$B$11)-1+2*INT((WEEKDAY(P46,1)-1+(Settings!$B$11)-1)/5)</f>
        <v>46257</v>
      </c>
      <c r="R46" s="28"/>
      <c r="S46" s="28"/>
      <c r="T46" s="20">
        <f t="shared" ca="1" si="6"/>
        <v>0</v>
      </c>
      <c r="U46" s="20" t="str">
        <f t="shared" ca="1" si="7"/>
        <v>Green</v>
      </c>
      <c r="V46" s="38" t="s">
        <v>130</v>
      </c>
      <c r="W46" s="39"/>
      <c r="X46" s="39"/>
      <c r="Y46" s="40">
        <v>46233.453472222223</v>
      </c>
      <c r="Z46" s="38" t="s">
        <v>132</v>
      </c>
    </row>
    <row r="47" spans="1:26" ht="21" customHeight="1">
      <c r="A47" s="38"/>
      <c r="B47" s="20"/>
      <c r="C47" s="20"/>
      <c r="D47" s="20" t="s">
        <v>112</v>
      </c>
      <c r="E47" s="38"/>
      <c r="F47" s="38"/>
      <c r="G47" s="20" t="str">
        <f>G41</f>
        <v>HIGH</v>
      </c>
      <c r="H47" s="38" t="s">
        <v>131</v>
      </c>
      <c r="I47" s="20" t="str">
        <f>I41</f>
        <v>Developer 2</v>
      </c>
      <c r="J47" s="20"/>
      <c r="K47" s="20" t="s">
        <v>135</v>
      </c>
      <c r="L47" s="20"/>
      <c r="M47" s="20"/>
      <c r="N47" s="27" t="s">
        <v>11</v>
      </c>
      <c r="O47" s="21">
        <f t="shared" si="12"/>
        <v>0</v>
      </c>
      <c r="P47" s="22">
        <f>Q46+1+2*INT((WEEKDAY(Q46,1)-1+1)/5)</f>
        <v>46258</v>
      </c>
      <c r="Q47" s="22">
        <f>P47+(Settings!$B$12)-1+2*INT((WEEKDAY(P47,1)-1+(Settings!$B$12)-1)/5)</f>
        <v>46258</v>
      </c>
      <c r="R47" s="28"/>
      <c r="S47" s="28"/>
      <c r="T47" s="20">
        <f t="shared" ca="1" si="6"/>
        <v>0</v>
      </c>
      <c r="U47" s="20" t="str">
        <f t="shared" ca="1" si="7"/>
        <v>Green</v>
      </c>
      <c r="V47" s="38" t="s">
        <v>130</v>
      </c>
      <c r="W47" s="39"/>
      <c r="X47" s="39"/>
      <c r="Y47" s="40">
        <v>46233.453472222223</v>
      </c>
      <c r="Z47" s="38" t="s">
        <v>132</v>
      </c>
    </row>
    <row r="48" spans="1:26" ht="21" customHeight="1">
      <c r="A48" s="17" t="s">
        <v>141</v>
      </c>
      <c r="B48" s="17" t="s">
        <v>56</v>
      </c>
      <c r="C48" s="17"/>
      <c r="D48" s="17" t="s">
        <v>10</v>
      </c>
      <c r="E48" s="35"/>
      <c r="F48" s="35"/>
      <c r="G48" s="17" t="str">
        <f>'Process Summary'!B9</f>
        <v>HIGH</v>
      </c>
      <c r="H48" s="35" t="s">
        <v>131</v>
      </c>
      <c r="I48" s="17" t="str">
        <f>'Process Summary'!C9</f>
        <v>Developer 1</v>
      </c>
      <c r="J48" s="17"/>
      <c r="K48" s="17"/>
      <c r="L48" s="17"/>
      <c r="M48" s="17"/>
      <c r="N48" s="17" t="str">
        <f>IF(O48=100%,"Completed",IF(N49="On Hold","On Hold",IF(N50="On Hold","On Hold",IF(N51="On Hold","On Hold",IF(N52="On Hold","On Hold",IF(N53="On Hold","On Hold",IF(N54="On Hold","On Hold",IF(O48&gt;0%,"In Progress","Not Started"))))))))</f>
        <v>Not Started</v>
      </c>
      <c r="O48" s="18">
        <f>(O49*3+O50*5+O51+O52*IF(G48="LOW",13,IF(G48="MEDIUM",23,33))+O53*2+O54)/(12+IF(G48="LOW",13,IF(G48="MEDIUM",23,33)))</f>
        <v>0</v>
      </c>
      <c r="P48" s="19">
        <f>'Process Summary'!G9</f>
        <v>46223</v>
      </c>
      <c r="Q48" s="19">
        <f>Q54</f>
        <v>46265</v>
      </c>
      <c r="R48" s="19" t="str">
        <f>IF(COUNT(R49:R54)=0,"",MIN(R49:R54))</f>
        <v/>
      </c>
      <c r="S48" s="19" t="str">
        <f>IF(COUNT(S49:S54)=0,"",MAX(S49:S54))</f>
        <v/>
      </c>
      <c r="T48" s="17">
        <f t="shared" ca="1" si="6"/>
        <v>0</v>
      </c>
      <c r="U48" s="17" t="str">
        <f t="shared" ca="1" si="7"/>
        <v>Green</v>
      </c>
      <c r="V48" s="35" t="s">
        <v>130</v>
      </c>
      <c r="W48" s="36"/>
      <c r="X48" s="36"/>
      <c r="Y48" s="37">
        <v>46233.453472222223</v>
      </c>
      <c r="Z48" s="35" t="s">
        <v>132</v>
      </c>
    </row>
    <row r="49" spans="1:26" ht="21" customHeight="1">
      <c r="A49" s="38"/>
      <c r="B49" s="20"/>
      <c r="C49" s="20"/>
      <c r="D49" s="20" t="s">
        <v>107</v>
      </c>
      <c r="E49" s="38"/>
      <c r="F49" s="38"/>
      <c r="G49" s="20" t="str">
        <f>G48</f>
        <v>HIGH</v>
      </c>
      <c r="H49" s="38" t="s">
        <v>131</v>
      </c>
      <c r="I49" s="20" t="str">
        <f>I48</f>
        <v>Developer 1</v>
      </c>
      <c r="J49" s="20"/>
      <c r="K49" s="20" t="s">
        <v>133</v>
      </c>
      <c r="L49" s="20"/>
      <c r="M49" s="20"/>
      <c r="N49" s="27" t="s">
        <v>11</v>
      </c>
      <c r="O49" s="21">
        <f t="shared" ref="O49:O54" si="13">IF(N49="Completed",100%,IF(OR(N49="In Progress",N49="On Hold"),50%,0%))</f>
        <v>0</v>
      </c>
      <c r="P49" s="22">
        <f>P48</f>
        <v>46223</v>
      </c>
      <c r="Q49" s="22">
        <f>P49+(Settings!$B$5)-1+2*INT((WEEKDAY(P49,1)-1+(Settings!$B$5)-1)/5)</f>
        <v>46225</v>
      </c>
      <c r="R49" s="28"/>
      <c r="S49" s="28"/>
      <c r="T49" s="20">
        <f t="shared" ca="1" si="6"/>
        <v>8</v>
      </c>
      <c r="U49" s="20" t="str">
        <f t="shared" ca="1" si="7"/>
        <v>Red</v>
      </c>
      <c r="V49" s="38" t="s">
        <v>130</v>
      </c>
      <c r="W49" s="39"/>
      <c r="X49" s="39"/>
      <c r="Y49" s="40">
        <v>46233.453472222223</v>
      </c>
      <c r="Z49" s="38" t="s">
        <v>132</v>
      </c>
    </row>
    <row r="50" spans="1:26" ht="21" customHeight="1">
      <c r="A50" s="38"/>
      <c r="B50" s="20"/>
      <c r="C50" s="20"/>
      <c r="D50" s="20" t="s">
        <v>108</v>
      </c>
      <c r="E50" s="38"/>
      <c r="F50" s="38"/>
      <c r="G50" s="20" t="str">
        <f>G48</f>
        <v>HIGH</v>
      </c>
      <c r="H50" s="38" t="s">
        <v>131</v>
      </c>
      <c r="I50" s="20" t="str">
        <f>I48</f>
        <v>Developer 1</v>
      </c>
      <c r="J50" s="20"/>
      <c r="K50" s="20" t="s">
        <v>133</v>
      </c>
      <c r="L50" s="20"/>
      <c r="M50" s="20"/>
      <c r="N50" s="27" t="s">
        <v>11</v>
      </c>
      <c r="O50" s="21">
        <f t="shared" si="13"/>
        <v>0</v>
      </c>
      <c r="P50" s="22">
        <f>Q49+1+2*INT((WEEKDAY(Q49,1)-1+1)/5)</f>
        <v>46226</v>
      </c>
      <c r="Q50" s="22">
        <f>P50+(Settings!$B$6)-1+2*INT((WEEKDAY(P50,1)-1+(Settings!$B$6)-1)/5)</f>
        <v>46232</v>
      </c>
      <c r="R50" s="28"/>
      <c r="S50" s="28"/>
      <c r="T50" s="20">
        <f t="shared" ca="1" si="6"/>
        <v>1</v>
      </c>
      <c r="U50" s="20" t="str">
        <f t="shared" ca="1" si="7"/>
        <v>Amber</v>
      </c>
      <c r="V50" s="38" t="s">
        <v>130</v>
      </c>
      <c r="W50" s="39"/>
      <c r="X50" s="39"/>
      <c r="Y50" s="40">
        <v>46233.453472222223</v>
      </c>
      <c r="Z50" s="38" t="s">
        <v>132</v>
      </c>
    </row>
    <row r="51" spans="1:26" ht="21" customHeight="1">
      <c r="A51" s="38"/>
      <c r="B51" s="20"/>
      <c r="C51" s="20"/>
      <c r="D51" s="20" t="s">
        <v>109</v>
      </c>
      <c r="E51" s="38"/>
      <c r="F51" s="38"/>
      <c r="G51" s="20" t="str">
        <f>G48</f>
        <v>HIGH</v>
      </c>
      <c r="H51" s="38" t="s">
        <v>131</v>
      </c>
      <c r="I51" s="20" t="str">
        <f>I48</f>
        <v>Developer 1</v>
      </c>
      <c r="J51" s="20"/>
      <c r="K51" s="20" t="s">
        <v>134</v>
      </c>
      <c r="L51" s="20"/>
      <c r="M51" s="23"/>
      <c r="N51" s="27" t="s">
        <v>11</v>
      </c>
      <c r="O51" s="21">
        <f t="shared" si="13"/>
        <v>0</v>
      </c>
      <c r="P51" s="22">
        <f>Q50+1+2*INT((WEEKDAY(Q50,1)-1+1)/5)</f>
        <v>46233</v>
      </c>
      <c r="Q51" s="22">
        <f>P51+(Settings!$B$7)-1+2*INT((WEEKDAY(P51,1)-1+(Settings!$B$7)-1)/5)</f>
        <v>46233</v>
      </c>
      <c r="R51" s="28"/>
      <c r="S51" s="28"/>
      <c r="T51" s="20">
        <f t="shared" ca="1" si="6"/>
        <v>0</v>
      </c>
      <c r="U51" s="20" t="str">
        <f t="shared" ca="1" si="7"/>
        <v>Green</v>
      </c>
      <c r="V51" s="38" t="s">
        <v>130</v>
      </c>
      <c r="W51" s="39"/>
      <c r="X51" s="39"/>
      <c r="Y51" s="40">
        <v>46233.453472222223</v>
      </c>
      <c r="Z51" s="38" t="s">
        <v>132</v>
      </c>
    </row>
    <row r="52" spans="1:26" ht="21" customHeight="1">
      <c r="A52" s="38"/>
      <c r="B52" s="20"/>
      <c r="C52" s="20"/>
      <c r="D52" s="20" t="s">
        <v>110</v>
      </c>
      <c r="E52" s="38"/>
      <c r="F52" s="38"/>
      <c r="G52" s="20" t="str">
        <f>G48</f>
        <v>HIGH</v>
      </c>
      <c r="H52" s="38" t="s">
        <v>131</v>
      </c>
      <c r="I52" s="20" t="str">
        <f>I48</f>
        <v>Developer 1</v>
      </c>
      <c r="J52" s="20"/>
      <c r="K52" s="20" t="s">
        <v>135</v>
      </c>
      <c r="L52" s="20"/>
      <c r="M52" s="20"/>
      <c r="N52" s="27" t="s">
        <v>11</v>
      </c>
      <c r="O52" s="21">
        <f t="shared" si="13"/>
        <v>0</v>
      </c>
      <c r="P52" s="22">
        <f>Q51+1+2*INT((WEEKDAY(Q51,1)-1+1)/5)</f>
        <v>46236</v>
      </c>
      <c r="Q52" s="22">
        <f>P52+(IF(G52="LOW",Settings!$B$8,IF(G52="MEDIUM",Settings!$B$9,Settings!$B$10)))-1+2*INT((WEEKDAY(P52,1)-1+(IF(G52="LOW",Settings!$B$8,IF(G52="MEDIUM",Settings!$B$9,Settings!$B$10)))-1)/5)</f>
        <v>46261</v>
      </c>
      <c r="R52" s="28"/>
      <c r="S52" s="28"/>
      <c r="T52" s="20">
        <f t="shared" ca="1" si="6"/>
        <v>0</v>
      </c>
      <c r="U52" s="20" t="str">
        <f t="shared" ca="1" si="7"/>
        <v>Green</v>
      </c>
      <c r="V52" s="38" t="s">
        <v>130</v>
      </c>
      <c r="W52" s="39"/>
      <c r="X52" s="39"/>
      <c r="Y52" s="40">
        <v>46233.453472222223</v>
      </c>
      <c r="Z52" s="38" t="s">
        <v>132</v>
      </c>
    </row>
    <row r="53" spans="1:26" ht="21" customHeight="1">
      <c r="A53" s="38"/>
      <c r="B53" s="20"/>
      <c r="C53" s="20"/>
      <c r="D53" s="20" t="s">
        <v>111</v>
      </c>
      <c r="E53" s="38"/>
      <c r="F53" s="38"/>
      <c r="G53" s="20" t="str">
        <f>G48</f>
        <v>HIGH</v>
      </c>
      <c r="H53" s="38" t="s">
        <v>131</v>
      </c>
      <c r="I53" s="20" t="str">
        <f>I48</f>
        <v>Developer 1</v>
      </c>
      <c r="J53" s="20"/>
      <c r="K53" s="20" t="s">
        <v>136</v>
      </c>
      <c r="L53" s="20"/>
      <c r="M53" s="20"/>
      <c r="N53" s="27" t="s">
        <v>11</v>
      </c>
      <c r="O53" s="21">
        <f t="shared" si="13"/>
        <v>0</v>
      </c>
      <c r="P53" s="22">
        <f>Q52+1+2*INT((WEEKDAY(Q52,1)-1+1)/5)</f>
        <v>46264</v>
      </c>
      <c r="Q53" s="22">
        <f>P53+(Settings!$B$11)-1+2*INT((WEEKDAY(P53,1)-1+(Settings!$B$11)-1)/5)</f>
        <v>46264</v>
      </c>
      <c r="R53" s="28"/>
      <c r="S53" s="28"/>
      <c r="T53" s="20">
        <f t="shared" ca="1" si="6"/>
        <v>0</v>
      </c>
      <c r="U53" s="20" t="str">
        <f t="shared" ca="1" si="7"/>
        <v>Green</v>
      </c>
      <c r="V53" s="38" t="s">
        <v>130</v>
      </c>
      <c r="W53" s="39"/>
      <c r="X53" s="39"/>
      <c r="Y53" s="40">
        <v>46233.453472222223</v>
      </c>
      <c r="Z53" s="38" t="s">
        <v>132</v>
      </c>
    </row>
    <row r="54" spans="1:26" ht="21" customHeight="1">
      <c r="A54" s="38"/>
      <c r="B54" s="20"/>
      <c r="C54" s="20"/>
      <c r="D54" s="20" t="s">
        <v>112</v>
      </c>
      <c r="E54" s="38"/>
      <c r="F54" s="38"/>
      <c r="G54" s="20" t="str">
        <f>G48</f>
        <v>HIGH</v>
      </c>
      <c r="H54" s="38" t="s">
        <v>131</v>
      </c>
      <c r="I54" s="20" t="str">
        <f>I48</f>
        <v>Developer 1</v>
      </c>
      <c r="J54" s="20"/>
      <c r="K54" s="20" t="s">
        <v>135</v>
      </c>
      <c r="L54" s="20"/>
      <c r="M54" s="20"/>
      <c r="N54" s="27" t="s">
        <v>11</v>
      </c>
      <c r="O54" s="21">
        <f t="shared" si="13"/>
        <v>0</v>
      </c>
      <c r="P54" s="22">
        <f>Q53+1+2*INT((WEEKDAY(Q53,1)-1+1)/5)</f>
        <v>46265</v>
      </c>
      <c r="Q54" s="22">
        <f>P54+(Settings!$B$12)-1+2*INT((WEEKDAY(P54,1)-1+(Settings!$B$12)-1)/5)</f>
        <v>46265</v>
      </c>
      <c r="R54" s="28"/>
      <c r="S54" s="28"/>
      <c r="T54" s="20">
        <f t="shared" ca="1" si="6"/>
        <v>0</v>
      </c>
      <c r="U54" s="20" t="str">
        <f t="shared" ca="1" si="7"/>
        <v>Green</v>
      </c>
      <c r="V54" s="38" t="s">
        <v>130</v>
      </c>
      <c r="W54" s="39"/>
      <c r="X54" s="39"/>
      <c r="Y54" s="40">
        <v>46233.453472222223</v>
      </c>
      <c r="Z54" s="38" t="s">
        <v>132</v>
      </c>
    </row>
    <row r="55" spans="1:26" ht="21" customHeight="1">
      <c r="A55" s="17" t="s">
        <v>142</v>
      </c>
      <c r="B55" s="17" t="s">
        <v>56</v>
      </c>
      <c r="C55" s="17"/>
      <c r="D55" s="17" t="s">
        <v>10</v>
      </c>
      <c r="E55" s="35"/>
      <c r="F55" s="35"/>
      <c r="G55" s="17" t="str">
        <f>'Process Summary'!B10</f>
        <v>HIGH</v>
      </c>
      <c r="H55" s="35" t="s">
        <v>131</v>
      </c>
      <c r="I55" s="17" t="str">
        <f>'Process Summary'!C10</f>
        <v>Developer 3</v>
      </c>
      <c r="J55" s="17"/>
      <c r="K55" s="17"/>
      <c r="L55" s="17"/>
      <c r="M55" s="17"/>
      <c r="N55" s="17" t="str">
        <f>IF(O55=100%,"Completed",IF(N56="On Hold","On Hold",IF(N57="On Hold","On Hold",IF(N58="On Hold","On Hold",IF(N59="On Hold","On Hold",IF(N60="On Hold","On Hold",IF(N61="On Hold","On Hold",IF(O55&gt;0%,"In Progress","Not Started"))))))))</f>
        <v>Not Started</v>
      </c>
      <c r="O55" s="18">
        <f>(O56*3+O57*5+O58+O59*IF(G55="LOW",13,IF(G55="MEDIUM",23,33))+O60*2+O61)/(12+IF(G55="LOW",13,IF(G55="MEDIUM",23,33)))</f>
        <v>0</v>
      </c>
      <c r="P55" s="19">
        <f>'Process Summary'!G10</f>
        <v>46223</v>
      </c>
      <c r="Q55" s="19">
        <f>Q61</f>
        <v>46265</v>
      </c>
      <c r="R55" s="19" t="str">
        <f>IF(COUNT(R56:R61)=0,"",MIN(R56:R61))</f>
        <v/>
      </c>
      <c r="S55" s="19" t="str">
        <f>IF(COUNT(S56:S61)=0,"",MAX(S56:S61))</f>
        <v/>
      </c>
      <c r="T55" s="17">
        <f t="shared" ca="1" si="6"/>
        <v>0</v>
      </c>
      <c r="U55" s="17" t="str">
        <f t="shared" ca="1" si="7"/>
        <v>Green</v>
      </c>
      <c r="V55" s="35" t="s">
        <v>130</v>
      </c>
      <c r="W55" s="36"/>
      <c r="X55" s="36"/>
      <c r="Y55" s="37">
        <v>46233.453472222223</v>
      </c>
      <c r="Z55" s="35" t="s">
        <v>132</v>
      </c>
    </row>
    <row r="56" spans="1:26" ht="21" customHeight="1">
      <c r="A56" s="38"/>
      <c r="B56" s="20"/>
      <c r="C56" s="20"/>
      <c r="D56" s="20" t="s">
        <v>107</v>
      </c>
      <c r="E56" s="38"/>
      <c r="F56" s="38"/>
      <c r="G56" s="20" t="str">
        <f>G55</f>
        <v>HIGH</v>
      </c>
      <c r="H56" s="38" t="s">
        <v>131</v>
      </c>
      <c r="I56" s="20" t="str">
        <f>I55</f>
        <v>Developer 3</v>
      </c>
      <c r="J56" s="20"/>
      <c r="K56" s="20" t="s">
        <v>133</v>
      </c>
      <c r="L56" s="20"/>
      <c r="M56" s="20"/>
      <c r="N56" s="27" t="s">
        <v>11</v>
      </c>
      <c r="O56" s="21">
        <f t="shared" ref="O56:O61" si="14">IF(N56="Completed",100%,IF(OR(N56="In Progress",N56="On Hold"),50%,0%))</f>
        <v>0</v>
      </c>
      <c r="P56" s="22">
        <f>P55</f>
        <v>46223</v>
      </c>
      <c r="Q56" s="22">
        <f>P56+(Settings!$B$5)-1+2*INT((WEEKDAY(P56,1)-1+(Settings!$B$5)-1)/5)</f>
        <v>46225</v>
      </c>
      <c r="R56" s="28"/>
      <c r="S56" s="28"/>
      <c r="T56" s="20">
        <f t="shared" ca="1" si="6"/>
        <v>8</v>
      </c>
      <c r="U56" s="20" t="str">
        <f t="shared" ca="1" si="7"/>
        <v>Red</v>
      </c>
      <c r="V56" s="38" t="s">
        <v>130</v>
      </c>
      <c r="W56" s="39"/>
      <c r="X56" s="39"/>
      <c r="Y56" s="40">
        <v>46233.453472222223</v>
      </c>
      <c r="Z56" s="38" t="s">
        <v>132</v>
      </c>
    </row>
    <row r="57" spans="1:26" ht="21" customHeight="1">
      <c r="A57" s="38"/>
      <c r="B57" s="20"/>
      <c r="C57" s="20"/>
      <c r="D57" s="20" t="s">
        <v>108</v>
      </c>
      <c r="E57" s="38"/>
      <c r="F57" s="38"/>
      <c r="G57" s="20" t="str">
        <f>G55</f>
        <v>HIGH</v>
      </c>
      <c r="H57" s="38" t="s">
        <v>131</v>
      </c>
      <c r="I57" s="20" t="str">
        <f>I55</f>
        <v>Developer 3</v>
      </c>
      <c r="J57" s="20"/>
      <c r="K57" s="20" t="s">
        <v>133</v>
      </c>
      <c r="L57" s="20"/>
      <c r="M57" s="20"/>
      <c r="N57" s="27" t="s">
        <v>11</v>
      </c>
      <c r="O57" s="21">
        <f t="shared" si="14"/>
        <v>0</v>
      </c>
      <c r="P57" s="22">
        <f>Q56+1+2*INT((WEEKDAY(Q56,1)-1+1)/5)</f>
        <v>46226</v>
      </c>
      <c r="Q57" s="22">
        <f>P57+(Settings!$B$6)-1+2*INT((WEEKDAY(P57,1)-1+(Settings!$B$6)-1)/5)</f>
        <v>46232</v>
      </c>
      <c r="R57" s="28"/>
      <c r="S57" s="28"/>
      <c r="T57" s="20">
        <f t="shared" ca="1" si="6"/>
        <v>1</v>
      </c>
      <c r="U57" s="20" t="str">
        <f t="shared" ca="1" si="7"/>
        <v>Amber</v>
      </c>
      <c r="V57" s="38" t="s">
        <v>130</v>
      </c>
      <c r="W57" s="39"/>
      <c r="X57" s="39"/>
      <c r="Y57" s="40">
        <v>46233.453472222223</v>
      </c>
      <c r="Z57" s="38" t="s">
        <v>132</v>
      </c>
    </row>
    <row r="58" spans="1:26" ht="21" customHeight="1">
      <c r="A58" s="38"/>
      <c r="B58" s="20"/>
      <c r="C58" s="20"/>
      <c r="D58" s="20" t="s">
        <v>109</v>
      </c>
      <c r="E58" s="38"/>
      <c r="F58" s="38"/>
      <c r="G58" s="20" t="str">
        <f>G55</f>
        <v>HIGH</v>
      </c>
      <c r="H58" s="38" t="s">
        <v>131</v>
      </c>
      <c r="I58" s="20" t="str">
        <f>I55</f>
        <v>Developer 3</v>
      </c>
      <c r="J58" s="20"/>
      <c r="K58" s="20" t="s">
        <v>134</v>
      </c>
      <c r="L58" s="20"/>
      <c r="M58" s="23"/>
      <c r="N58" s="27" t="s">
        <v>11</v>
      </c>
      <c r="O58" s="21">
        <f t="shared" si="14"/>
        <v>0</v>
      </c>
      <c r="P58" s="22">
        <f>Q57+1+2*INT((WEEKDAY(Q57,1)-1+1)/5)</f>
        <v>46233</v>
      </c>
      <c r="Q58" s="22">
        <f>P58+(Settings!$B$7)-1+2*INT((WEEKDAY(P58,1)-1+(Settings!$B$7)-1)/5)</f>
        <v>46233</v>
      </c>
      <c r="R58" s="28"/>
      <c r="S58" s="28"/>
      <c r="T58" s="20">
        <f t="shared" ca="1" si="6"/>
        <v>0</v>
      </c>
      <c r="U58" s="20" t="str">
        <f t="shared" ca="1" si="7"/>
        <v>Green</v>
      </c>
      <c r="V58" s="38" t="s">
        <v>130</v>
      </c>
      <c r="W58" s="39"/>
      <c r="X58" s="39"/>
      <c r="Y58" s="40">
        <v>46233.453472222223</v>
      </c>
      <c r="Z58" s="38" t="s">
        <v>132</v>
      </c>
    </row>
    <row r="59" spans="1:26" ht="21" customHeight="1">
      <c r="A59" s="38"/>
      <c r="B59" s="20"/>
      <c r="C59" s="20"/>
      <c r="D59" s="20" t="s">
        <v>110</v>
      </c>
      <c r="E59" s="38"/>
      <c r="F59" s="38"/>
      <c r="G59" s="20" t="str">
        <f>G55</f>
        <v>HIGH</v>
      </c>
      <c r="H59" s="38" t="s">
        <v>131</v>
      </c>
      <c r="I59" s="20" t="str">
        <f>I55</f>
        <v>Developer 3</v>
      </c>
      <c r="J59" s="20"/>
      <c r="K59" s="20" t="s">
        <v>135</v>
      </c>
      <c r="L59" s="20"/>
      <c r="M59" s="20"/>
      <c r="N59" s="27" t="s">
        <v>11</v>
      </c>
      <c r="O59" s="21">
        <f t="shared" si="14"/>
        <v>0</v>
      </c>
      <c r="P59" s="22">
        <f>Q58+1+2*INT((WEEKDAY(Q58,1)-1+1)/5)</f>
        <v>46236</v>
      </c>
      <c r="Q59" s="22">
        <f>P59+(IF(G59="LOW",Settings!$B$8,IF(G59="MEDIUM",Settings!$B$9,Settings!$B$10)))-1+2*INT((WEEKDAY(P59,1)-1+(IF(G59="LOW",Settings!$B$8,IF(G59="MEDIUM",Settings!$B$9,Settings!$B$10)))-1)/5)</f>
        <v>46261</v>
      </c>
      <c r="R59" s="28"/>
      <c r="S59" s="28"/>
      <c r="T59" s="20">
        <f t="shared" ca="1" si="6"/>
        <v>0</v>
      </c>
      <c r="U59" s="20" t="str">
        <f t="shared" ca="1" si="7"/>
        <v>Green</v>
      </c>
      <c r="V59" s="38" t="s">
        <v>130</v>
      </c>
      <c r="W59" s="39"/>
      <c r="X59" s="39"/>
      <c r="Y59" s="40">
        <v>46233.453472222223</v>
      </c>
      <c r="Z59" s="38" t="s">
        <v>132</v>
      </c>
    </row>
    <row r="60" spans="1:26" ht="21" customHeight="1">
      <c r="A60" s="38"/>
      <c r="B60" s="20"/>
      <c r="C60" s="20"/>
      <c r="D60" s="20" t="s">
        <v>111</v>
      </c>
      <c r="E60" s="38"/>
      <c r="F60" s="38"/>
      <c r="G60" s="20" t="str">
        <f>G55</f>
        <v>HIGH</v>
      </c>
      <c r="H60" s="38" t="s">
        <v>131</v>
      </c>
      <c r="I60" s="20" t="str">
        <f>I55</f>
        <v>Developer 3</v>
      </c>
      <c r="J60" s="20"/>
      <c r="K60" s="20" t="s">
        <v>136</v>
      </c>
      <c r="L60" s="20"/>
      <c r="M60" s="20"/>
      <c r="N60" s="27" t="s">
        <v>11</v>
      </c>
      <c r="O60" s="21">
        <f t="shared" si="14"/>
        <v>0</v>
      </c>
      <c r="P60" s="22">
        <f>Q59+1+2*INT((WEEKDAY(Q59,1)-1+1)/5)</f>
        <v>46264</v>
      </c>
      <c r="Q60" s="22">
        <f>P60+(Settings!$B$11)-1+2*INT((WEEKDAY(P60,1)-1+(Settings!$B$11)-1)/5)</f>
        <v>46264</v>
      </c>
      <c r="R60" s="28"/>
      <c r="S60" s="28"/>
      <c r="T60" s="20">
        <f t="shared" ca="1" si="6"/>
        <v>0</v>
      </c>
      <c r="U60" s="20" t="str">
        <f t="shared" ca="1" si="7"/>
        <v>Green</v>
      </c>
      <c r="V60" s="38" t="s">
        <v>130</v>
      </c>
      <c r="W60" s="39"/>
      <c r="X60" s="39"/>
      <c r="Y60" s="40">
        <v>46233.453472222223</v>
      </c>
      <c r="Z60" s="38" t="s">
        <v>132</v>
      </c>
    </row>
    <row r="61" spans="1:26" ht="21" customHeight="1">
      <c r="A61" s="38"/>
      <c r="B61" s="20"/>
      <c r="C61" s="20"/>
      <c r="D61" s="20" t="s">
        <v>112</v>
      </c>
      <c r="E61" s="38"/>
      <c r="F61" s="38"/>
      <c r="G61" s="20" t="str">
        <f>G55</f>
        <v>HIGH</v>
      </c>
      <c r="H61" s="38" t="s">
        <v>131</v>
      </c>
      <c r="I61" s="20" t="str">
        <f>I55</f>
        <v>Developer 3</v>
      </c>
      <c r="J61" s="20"/>
      <c r="K61" s="20" t="s">
        <v>135</v>
      </c>
      <c r="L61" s="20"/>
      <c r="M61" s="20"/>
      <c r="N61" s="27" t="s">
        <v>11</v>
      </c>
      <c r="O61" s="21">
        <f t="shared" si="14"/>
        <v>0</v>
      </c>
      <c r="P61" s="22">
        <f>Q60+1+2*INT((WEEKDAY(Q60,1)-1+1)/5)</f>
        <v>46265</v>
      </c>
      <c r="Q61" s="22">
        <f>P61+(Settings!$B$12)-1+2*INT((WEEKDAY(P61,1)-1+(Settings!$B$12)-1)/5)</f>
        <v>46265</v>
      </c>
      <c r="R61" s="28"/>
      <c r="S61" s="28"/>
      <c r="T61" s="20">
        <f t="shared" ca="1" si="6"/>
        <v>0</v>
      </c>
      <c r="U61" s="20" t="str">
        <f t="shared" ca="1" si="7"/>
        <v>Green</v>
      </c>
      <c r="V61" s="38" t="s">
        <v>130</v>
      </c>
      <c r="W61" s="39"/>
      <c r="X61" s="39"/>
      <c r="Y61" s="40">
        <v>46233.453472222223</v>
      </c>
      <c r="Z61" s="38" t="s">
        <v>132</v>
      </c>
    </row>
    <row r="62" spans="1:26" ht="21" customHeight="1">
      <c r="A62" s="17" t="s">
        <v>143</v>
      </c>
      <c r="B62" s="17" t="s">
        <v>56</v>
      </c>
      <c r="C62" s="17"/>
      <c r="D62" s="17" t="s">
        <v>10</v>
      </c>
      <c r="E62" s="35"/>
      <c r="F62" s="35"/>
      <c r="G62" s="17" t="str">
        <f>'Process Summary'!B11</f>
        <v>HIGH</v>
      </c>
      <c r="H62" s="35" t="s">
        <v>131</v>
      </c>
      <c r="I62" s="17" t="str">
        <f>'Process Summary'!C11</f>
        <v>Developer 4</v>
      </c>
      <c r="J62" s="17"/>
      <c r="K62" s="17"/>
      <c r="L62" s="17"/>
      <c r="M62" s="17"/>
      <c r="N62" s="17" t="str">
        <f>IF(O62=100%,"Completed",IF(N63="On Hold","On Hold",IF(N64="On Hold","On Hold",IF(N65="On Hold","On Hold",IF(N66="On Hold","On Hold",IF(N67="On Hold","On Hold",IF(N68="On Hold","On Hold",IF(O62&gt;0%,"In Progress","Not Started"))))))))</f>
        <v>Not Started</v>
      </c>
      <c r="O62" s="18">
        <f>(O63*3+O64*5+O65+O66*IF(G62="LOW",13,IF(G62="MEDIUM",23,33))+O67*2+O68)/(12+IF(G62="LOW",13,IF(G62="MEDIUM",23,33)))</f>
        <v>0</v>
      </c>
      <c r="P62" s="19">
        <f>'Process Summary'!G11</f>
        <v>46223</v>
      </c>
      <c r="Q62" s="19">
        <f>Q68</f>
        <v>46265</v>
      </c>
      <c r="R62" s="19" t="str">
        <f>IF(COUNT(R63:R68)=0,"",MIN(R63:R68))</f>
        <v/>
      </c>
      <c r="S62" s="19" t="str">
        <f>IF(COUNT(S63:S68)=0,"",MAX(S63:S68))</f>
        <v/>
      </c>
      <c r="T62" s="17">
        <f t="shared" ca="1" si="6"/>
        <v>0</v>
      </c>
      <c r="U62" s="17" t="str">
        <f t="shared" ca="1" si="7"/>
        <v>Green</v>
      </c>
      <c r="V62" s="35" t="s">
        <v>130</v>
      </c>
      <c r="W62" s="36"/>
      <c r="X62" s="36"/>
      <c r="Y62" s="37">
        <v>46233.453472222223</v>
      </c>
      <c r="Z62" s="35" t="s">
        <v>132</v>
      </c>
    </row>
    <row r="63" spans="1:26" ht="21" customHeight="1">
      <c r="A63" s="38"/>
      <c r="B63" s="20"/>
      <c r="C63" s="20"/>
      <c r="D63" s="20" t="s">
        <v>107</v>
      </c>
      <c r="E63" s="38"/>
      <c r="F63" s="38"/>
      <c r="G63" s="20" t="str">
        <f>G62</f>
        <v>HIGH</v>
      </c>
      <c r="H63" s="38" t="s">
        <v>131</v>
      </c>
      <c r="I63" s="20" t="str">
        <f>I62</f>
        <v>Developer 4</v>
      </c>
      <c r="J63" s="20"/>
      <c r="K63" s="20" t="s">
        <v>133</v>
      </c>
      <c r="L63" s="20"/>
      <c r="M63" s="20"/>
      <c r="N63" s="27" t="s">
        <v>11</v>
      </c>
      <c r="O63" s="21">
        <f t="shared" ref="O63:O68" si="15">IF(N63="Completed",100%,IF(OR(N63="In Progress",N63="On Hold"),50%,0%))</f>
        <v>0</v>
      </c>
      <c r="P63" s="22">
        <f>P62</f>
        <v>46223</v>
      </c>
      <c r="Q63" s="22">
        <f>P63+(Settings!$B$5)-1+2*INT((WEEKDAY(P63,1)-1+(Settings!$B$5)-1)/5)</f>
        <v>46225</v>
      </c>
      <c r="R63" s="28"/>
      <c r="S63" s="28"/>
      <c r="T63" s="20">
        <f t="shared" ca="1" si="6"/>
        <v>8</v>
      </c>
      <c r="U63" s="20" t="str">
        <f t="shared" ca="1" si="7"/>
        <v>Red</v>
      </c>
      <c r="V63" s="38" t="s">
        <v>130</v>
      </c>
      <c r="W63" s="39"/>
      <c r="X63" s="39"/>
      <c r="Y63" s="40">
        <v>46233.453472222223</v>
      </c>
      <c r="Z63" s="38" t="s">
        <v>132</v>
      </c>
    </row>
    <row r="64" spans="1:26" ht="21" customHeight="1">
      <c r="A64" s="38"/>
      <c r="B64" s="20"/>
      <c r="C64" s="20"/>
      <c r="D64" s="20" t="s">
        <v>108</v>
      </c>
      <c r="E64" s="38"/>
      <c r="F64" s="38"/>
      <c r="G64" s="20" t="str">
        <f>G62</f>
        <v>HIGH</v>
      </c>
      <c r="H64" s="38" t="s">
        <v>131</v>
      </c>
      <c r="I64" s="20" t="str">
        <f>I62</f>
        <v>Developer 4</v>
      </c>
      <c r="J64" s="20"/>
      <c r="K64" s="20" t="s">
        <v>133</v>
      </c>
      <c r="L64" s="20"/>
      <c r="M64" s="20"/>
      <c r="N64" s="27" t="s">
        <v>11</v>
      </c>
      <c r="O64" s="21">
        <f t="shared" si="15"/>
        <v>0</v>
      </c>
      <c r="P64" s="22">
        <f>Q63+1+2*INT((WEEKDAY(Q63,1)-1+1)/5)</f>
        <v>46226</v>
      </c>
      <c r="Q64" s="22">
        <f>P64+(Settings!$B$6)-1+2*INT((WEEKDAY(P64,1)-1+(Settings!$B$6)-1)/5)</f>
        <v>46232</v>
      </c>
      <c r="R64" s="28"/>
      <c r="S64" s="28"/>
      <c r="T64" s="20">
        <f t="shared" ca="1" si="6"/>
        <v>1</v>
      </c>
      <c r="U64" s="20" t="str">
        <f t="shared" ca="1" si="7"/>
        <v>Amber</v>
      </c>
      <c r="V64" s="38" t="s">
        <v>130</v>
      </c>
      <c r="W64" s="39"/>
      <c r="X64" s="39"/>
      <c r="Y64" s="40">
        <v>46233.453472222223</v>
      </c>
      <c r="Z64" s="38" t="s">
        <v>132</v>
      </c>
    </row>
    <row r="65" spans="1:26" ht="21" customHeight="1">
      <c r="A65" s="38"/>
      <c r="B65" s="20"/>
      <c r="C65" s="20"/>
      <c r="D65" s="20" t="s">
        <v>109</v>
      </c>
      <c r="E65" s="38"/>
      <c r="F65" s="38"/>
      <c r="G65" s="20" t="str">
        <f>G62</f>
        <v>HIGH</v>
      </c>
      <c r="H65" s="38" t="s">
        <v>131</v>
      </c>
      <c r="I65" s="20" t="str">
        <f>I62</f>
        <v>Developer 4</v>
      </c>
      <c r="J65" s="20"/>
      <c r="K65" s="20" t="s">
        <v>134</v>
      </c>
      <c r="L65" s="20"/>
      <c r="M65" s="23"/>
      <c r="N65" s="27" t="s">
        <v>11</v>
      </c>
      <c r="O65" s="21">
        <f t="shared" si="15"/>
        <v>0</v>
      </c>
      <c r="P65" s="22">
        <f>Q64+1+2*INT((WEEKDAY(Q64,1)-1+1)/5)</f>
        <v>46233</v>
      </c>
      <c r="Q65" s="22">
        <f>P65+(Settings!$B$7)-1+2*INT((WEEKDAY(P65,1)-1+(Settings!$B$7)-1)/5)</f>
        <v>46233</v>
      </c>
      <c r="R65" s="28"/>
      <c r="S65" s="28"/>
      <c r="T65" s="20">
        <f t="shared" ca="1" si="6"/>
        <v>0</v>
      </c>
      <c r="U65" s="20" t="str">
        <f t="shared" ca="1" si="7"/>
        <v>Green</v>
      </c>
      <c r="V65" s="38" t="s">
        <v>130</v>
      </c>
      <c r="W65" s="39"/>
      <c r="X65" s="39"/>
      <c r="Y65" s="40">
        <v>46233.453472222223</v>
      </c>
      <c r="Z65" s="38" t="s">
        <v>132</v>
      </c>
    </row>
    <row r="66" spans="1:26" ht="21" customHeight="1">
      <c r="A66" s="38"/>
      <c r="B66" s="20"/>
      <c r="C66" s="20"/>
      <c r="D66" s="20" t="s">
        <v>110</v>
      </c>
      <c r="E66" s="38"/>
      <c r="F66" s="38"/>
      <c r="G66" s="20" t="str">
        <f>G62</f>
        <v>HIGH</v>
      </c>
      <c r="H66" s="38" t="s">
        <v>131</v>
      </c>
      <c r="I66" s="20" t="str">
        <f>I62</f>
        <v>Developer 4</v>
      </c>
      <c r="J66" s="20"/>
      <c r="K66" s="20" t="s">
        <v>135</v>
      </c>
      <c r="L66" s="20"/>
      <c r="M66" s="20"/>
      <c r="N66" s="27" t="s">
        <v>11</v>
      </c>
      <c r="O66" s="21">
        <f t="shared" si="15"/>
        <v>0</v>
      </c>
      <c r="P66" s="22">
        <f>Q65+1+2*INT((WEEKDAY(Q65,1)-1+1)/5)</f>
        <v>46236</v>
      </c>
      <c r="Q66" s="22">
        <f>P66+(IF(G66="LOW",Settings!$B$8,IF(G66="MEDIUM",Settings!$B$9,Settings!$B$10)))-1+2*INT((WEEKDAY(P66,1)-1+(IF(G66="LOW",Settings!$B$8,IF(G66="MEDIUM",Settings!$B$9,Settings!$B$10)))-1)/5)</f>
        <v>46261</v>
      </c>
      <c r="R66" s="28"/>
      <c r="S66" s="28"/>
      <c r="T66" s="20">
        <f t="shared" ca="1" si="6"/>
        <v>0</v>
      </c>
      <c r="U66" s="20" t="str">
        <f t="shared" ca="1" si="7"/>
        <v>Green</v>
      </c>
      <c r="V66" s="38" t="s">
        <v>130</v>
      </c>
      <c r="W66" s="39"/>
      <c r="X66" s="39"/>
      <c r="Y66" s="40">
        <v>46233.453472222223</v>
      </c>
      <c r="Z66" s="38" t="s">
        <v>132</v>
      </c>
    </row>
    <row r="67" spans="1:26" ht="21" customHeight="1">
      <c r="A67" s="38"/>
      <c r="B67" s="20"/>
      <c r="C67" s="20"/>
      <c r="D67" s="20" t="s">
        <v>111</v>
      </c>
      <c r="E67" s="38"/>
      <c r="F67" s="38"/>
      <c r="G67" s="20" t="str">
        <f>G62</f>
        <v>HIGH</v>
      </c>
      <c r="H67" s="38" t="s">
        <v>131</v>
      </c>
      <c r="I67" s="20" t="str">
        <f>I62</f>
        <v>Developer 4</v>
      </c>
      <c r="J67" s="20"/>
      <c r="K67" s="20" t="s">
        <v>136</v>
      </c>
      <c r="L67" s="20"/>
      <c r="M67" s="20"/>
      <c r="N67" s="27" t="s">
        <v>11</v>
      </c>
      <c r="O67" s="21">
        <f t="shared" si="15"/>
        <v>0</v>
      </c>
      <c r="P67" s="22">
        <f>Q66+1+2*INT((WEEKDAY(Q66,1)-1+1)/5)</f>
        <v>46264</v>
      </c>
      <c r="Q67" s="22">
        <f>P67+(Settings!$B$11)-1+2*INT((WEEKDAY(P67,1)-1+(Settings!$B$11)-1)/5)</f>
        <v>46264</v>
      </c>
      <c r="R67" s="28"/>
      <c r="S67" s="28"/>
      <c r="T67" s="20">
        <f t="shared" ca="1" si="6"/>
        <v>0</v>
      </c>
      <c r="U67" s="20" t="str">
        <f t="shared" ca="1" si="7"/>
        <v>Green</v>
      </c>
      <c r="V67" s="38" t="s">
        <v>130</v>
      </c>
      <c r="W67" s="39"/>
      <c r="X67" s="39"/>
      <c r="Y67" s="40">
        <v>46233.453472222223</v>
      </c>
      <c r="Z67" s="38" t="s">
        <v>132</v>
      </c>
    </row>
    <row r="68" spans="1:26" ht="21" customHeight="1">
      <c r="A68" s="38"/>
      <c r="B68" s="20"/>
      <c r="C68" s="20"/>
      <c r="D68" s="20" t="s">
        <v>112</v>
      </c>
      <c r="E68" s="38"/>
      <c r="F68" s="38"/>
      <c r="G68" s="20" t="str">
        <f>G62</f>
        <v>HIGH</v>
      </c>
      <c r="H68" s="38" t="s">
        <v>131</v>
      </c>
      <c r="I68" s="20" t="str">
        <f>I62</f>
        <v>Developer 4</v>
      </c>
      <c r="J68" s="20"/>
      <c r="K68" s="20" t="s">
        <v>135</v>
      </c>
      <c r="L68" s="20"/>
      <c r="M68" s="20"/>
      <c r="N68" s="27" t="s">
        <v>11</v>
      </c>
      <c r="O68" s="21">
        <f t="shared" si="15"/>
        <v>0</v>
      </c>
      <c r="P68" s="22">
        <f>Q67+1+2*INT((WEEKDAY(Q67,1)-1+1)/5)</f>
        <v>46265</v>
      </c>
      <c r="Q68" s="22">
        <f>P68+(Settings!$B$12)-1+2*INT((WEEKDAY(P68,1)-1+(Settings!$B$12)-1)/5)</f>
        <v>46265</v>
      </c>
      <c r="R68" s="28"/>
      <c r="S68" s="28"/>
      <c r="T68" s="20">
        <f t="shared" ca="1" si="6"/>
        <v>0</v>
      </c>
      <c r="U68" s="20" t="str">
        <f t="shared" ca="1" si="7"/>
        <v>Green</v>
      </c>
      <c r="V68" s="38" t="s">
        <v>130</v>
      </c>
      <c r="W68" s="39"/>
      <c r="X68" s="39"/>
      <c r="Y68" s="40">
        <v>46233.453472222223</v>
      </c>
      <c r="Z68" s="38" t="s">
        <v>132</v>
      </c>
    </row>
    <row r="69" spans="1:26" ht="21" customHeight="1">
      <c r="A69" s="17" t="s">
        <v>144</v>
      </c>
      <c r="B69" s="17" t="s">
        <v>56</v>
      </c>
      <c r="C69" s="17"/>
      <c r="D69" s="17" t="s">
        <v>10</v>
      </c>
      <c r="E69" s="35"/>
      <c r="F69" s="35"/>
      <c r="G69" s="17" t="str">
        <f>'Process Summary'!B12</f>
        <v>HIGH</v>
      </c>
      <c r="H69" s="35" t="s">
        <v>131</v>
      </c>
      <c r="I69" s="17" t="str">
        <f>'Process Summary'!C12</f>
        <v>Developer 2</v>
      </c>
      <c r="J69" s="17"/>
      <c r="K69" s="17"/>
      <c r="L69" s="17"/>
      <c r="M69" s="17"/>
      <c r="N69" s="17" t="str">
        <f>IF(O69=100%,"Completed",IF(N70="On Hold","On Hold",IF(N71="On Hold","On Hold",IF(N72="On Hold","On Hold",IF(N73="On Hold","On Hold",IF(N74="On Hold","On Hold",IF(N75="On Hold","On Hold",IF(O69&gt;0%,"In Progress","Not Started"))))))))</f>
        <v>Not Started</v>
      </c>
      <c r="O69" s="18">
        <f>(O70*3+O71*5+O72+O73*IF(G69="LOW",13,IF(G69="MEDIUM",23,33))+O74*2+O75)/(12+IF(G69="LOW",13,IF(G69="MEDIUM",23,33)))</f>
        <v>0</v>
      </c>
      <c r="P69" s="19">
        <f>'Process Summary'!G12</f>
        <v>46259</v>
      </c>
      <c r="Q69" s="19">
        <f>Q75</f>
        <v>46301</v>
      </c>
      <c r="R69" s="19" t="str">
        <f>IF(COUNT(R70:R75)=0,"",MIN(R70:R75))</f>
        <v/>
      </c>
      <c r="S69" s="19" t="str">
        <f>IF(COUNT(S70:S75)=0,"",MAX(S70:S75))</f>
        <v/>
      </c>
      <c r="T69" s="17">
        <f t="shared" ca="1" si="6"/>
        <v>0</v>
      </c>
      <c r="U69" s="17" t="str">
        <f t="shared" ca="1" si="7"/>
        <v>Green</v>
      </c>
      <c r="V69" s="35" t="s">
        <v>130</v>
      </c>
      <c r="W69" s="36"/>
      <c r="X69" s="36"/>
      <c r="Y69" s="37">
        <v>46233.453472222223</v>
      </c>
      <c r="Z69" s="35" t="s">
        <v>132</v>
      </c>
    </row>
    <row r="70" spans="1:26" ht="21" customHeight="1">
      <c r="A70" s="38"/>
      <c r="B70" s="20"/>
      <c r="C70" s="20"/>
      <c r="D70" s="20" t="s">
        <v>107</v>
      </c>
      <c r="E70" s="38"/>
      <c r="F70" s="38"/>
      <c r="G70" s="20" t="str">
        <f>G69</f>
        <v>HIGH</v>
      </c>
      <c r="H70" s="38" t="s">
        <v>131</v>
      </c>
      <c r="I70" s="20" t="str">
        <f>I69</f>
        <v>Developer 2</v>
      </c>
      <c r="J70" s="20"/>
      <c r="K70" s="20" t="s">
        <v>133</v>
      </c>
      <c r="L70" s="20"/>
      <c r="M70" s="20"/>
      <c r="N70" s="27" t="s">
        <v>11</v>
      </c>
      <c r="O70" s="21">
        <f t="shared" ref="O70:O75" si="16">IF(N70="Completed",100%,IF(OR(N70="In Progress",N70="On Hold"),50%,0%))</f>
        <v>0</v>
      </c>
      <c r="P70" s="22">
        <f>P69</f>
        <v>46259</v>
      </c>
      <c r="Q70" s="22">
        <f>P70+(Settings!$B$5)-1+2*INT((WEEKDAY(P70,1)-1+(Settings!$B$5)-1)/5)</f>
        <v>46261</v>
      </c>
      <c r="R70" s="28"/>
      <c r="S70" s="28"/>
      <c r="T70" s="20">
        <f t="shared" ca="1" si="6"/>
        <v>0</v>
      </c>
      <c r="U70" s="20" t="str">
        <f t="shared" ca="1" si="7"/>
        <v>Green</v>
      </c>
      <c r="V70" s="38" t="s">
        <v>130</v>
      </c>
      <c r="W70" s="39"/>
      <c r="X70" s="39"/>
      <c r="Y70" s="40">
        <v>46233.453472222223</v>
      </c>
      <c r="Z70" s="38" t="s">
        <v>132</v>
      </c>
    </row>
    <row r="71" spans="1:26" ht="21" customHeight="1">
      <c r="A71" s="38"/>
      <c r="B71" s="20"/>
      <c r="C71" s="20"/>
      <c r="D71" s="20" t="s">
        <v>108</v>
      </c>
      <c r="E71" s="38"/>
      <c r="F71" s="38"/>
      <c r="G71" s="20" t="str">
        <f>G69</f>
        <v>HIGH</v>
      </c>
      <c r="H71" s="38" t="s">
        <v>131</v>
      </c>
      <c r="I71" s="20" t="str">
        <f>I69</f>
        <v>Developer 2</v>
      </c>
      <c r="J71" s="20"/>
      <c r="K71" s="20" t="s">
        <v>133</v>
      </c>
      <c r="L71" s="20"/>
      <c r="M71" s="20"/>
      <c r="N71" s="27" t="s">
        <v>11</v>
      </c>
      <c r="O71" s="21">
        <f t="shared" si="16"/>
        <v>0</v>
      </c>
      <c r="P71" s="22">
        <f>Q70+1+2*INT((WEEKDAY(Q70,1)-1+1)/5)</f>
        <v>46264</v>
      </c>
      <c r="Q71" s="22">
        <f>P71+(Settings!$B$6)-1+2*INT((WEEKDAY(P71,1)-1+(Settings!$B$6)-1)/5)</f>
        <v>46268</v>
      </c>
      <c r="R71" s="28"/>
      <c r="S71" s="28"/>
      <c r="T71" s="20">
        <f t="shared" ca="1" si="6"/>
        <v>0</v>
      </c>
      <c r="U71" s="20" t="str">
        <f t="shared" ca="1" si="7"/>
        <v>Green</v>
      </c>
      <c r="V71" s="38" t="s">
        <v>130</v>
      </c>
      <c r="W71" s="39"/>
      <c r="X71" s="39"/>
      <c r="Y71" s="40">
        <v>46233.453472222223</v>
      </c>
      <c r="Z71" s="38" t="s">
        <v>132</v>
      </c>
    </row>
    <row r="72" spans="1:26" ht="21" customHeight="1">
      <c r="A72" s="38"/>
      <c r="B72" s="20"/>
      <c r="C72" s="20"/>
      <c r="D72" s="20" t="s">
        <v>109</v>
      </c>
      <c r="E72" s="38"/>
      <c r="F72" s="38"/>
      <c r="G72" s="20" t="str">
        <f>G69</f>
        <v>HIGH</v>
      </c>
      <c r="H72" s="38" t="s">
        <v>131</v>
      </c>
      <c r="I72" s="20" t="str">
        <f>I69</f>
        <v>Developer 2</v>
      </c>
      <c r="J72" s="20"/>
      <c r="K72" s="20" t="s">
        <v>134</v>
      </c>
      <c r="L72" s="20"/>
      <c r="M72" s="23"/>
      <c r="N72" s="27" t="s">
        <v>11</v>
      </c>
      <c r="O72" s="21">
        <f t="shared" si="16"/>
        <v>0</v>
      </c>
      <c r="P72" s="22">
        <f>Q71+1+2*INT((WEEKDAY(Q71,1)-1+1)/5)</f>
        <v>46271</v>
      </c>
      <c r="Q72" s="22">
        <f>P72+(Settings!$B$7)-1+2*INT((WEEKDAY(P72,1)-1+(Settings!$B$7)-1)/5)</f>
        <v>46271</v>
      </c>
      <c r="R72" s="28"/>
      <c r="S72" s="28"/>
      <c r="T72" s="20">
        <f t="shared" ca="1" si="6"/>
        <v>0</v>
      </c>
      <c r="U72" s="20" t="str">
        <f t="shared" ca="1" si="7"/>
        <v>Green</v>
      </c>
      <c r="V72" s="38" t="s">
        <v>130</v>
      </c>
      <c r="W72" s="39"/>
      <c r="X72" s="39"/>
      <c r="Y72" s="40">
        <v>46233.453472222223</v>
      </c>
      <c r="Z72" s="38" t="s">
        <v>132</v>
      </c>
    </row>
    <row r="73" spans="1:26" ht="21" customHeight="1">
      <c r="A73" s="38"/>
      <c r="B73" s="20"/>
      <c r="C73" s="20"/>
      <c r="D73" s="20" t="s">
        <v>110</v>
      </c>
      <c r="E73" s="38"/>
      <c r="F73" s="38"/>
      <c r="G73" s="20" t="str">
        <f>G69</f>
        <v>HIGH</v>
      </c>
      <c r="H73" s="38" t="s">
        <v>131</v>
      </c>
      <c r="I73" s="20" t="str">
        <f>I69</f>
        <v>Developer 2</v>
      </c>
      <c r="J73" s="20"/>
      <c r="K73" s="20" t="s">
        <v>135</v>
      </c>
      <c r="L73" s="20"/>
      <c r="M73" s="20"/>
      <c r="N73" s="27" t="s">
        <v>11</v>
      </c>
      <c r="O73" s="21">
        <f t="shared" si="16"/>
        <v>0</v>
      </c>
      <c r="P73" s="22">
        <f>Q72+1+2*INT((WEEKDAY(Q72,1)-1+1)/5)</f>
        <v>46272</v>
      </c>
      <c r="Q73" s="22">
        <f>P73+(IF(G73="LOW",Settings!$B$8,IF(G73="MEDIUM",Settings!$B$9,Settings!$B$10)))-1+2*INT((WEEKDAY(P73,1)-1+(IF(G73="LOW",Settings!$B$8,IF(G73="MEDIUM",Settings!$B$9,Settings!$B$10)))-1)/5)</f>
        <v>46299</v>
      </c>
      <c r="R73" s="28"/>
      <c r="S73" s="28"/>
      <c r="T73" s="20">
        <f t="shared" ca="1" si="6"/>
        <v>0</v>
      </c>
      <c r="U73" s="20" t="str">
        <f t="shared" ca="1" si="7"/>
        <v>Green</v>
      </c>
      <c r="V73" s="38" t="s">
        <v>130</v>
      </c>
      <c r="W73" s="39"/>
      <c r="X73" s="39"/>
      <c r="Y73" s="40">
        <v>46233.453472222223</v>
      </c>
      <c r="Z73" s="38" t="s">
        <v>132</v>
      </c>
    </row>
    <row r="74" spans="1:26" ht="21" customHeight="1">
      <c r="A74" s="38"/>
      <c r="B74" s="20"/>
      <c r="C74" s="20"/>
      <c r="D74" s="20" t="s">
        <v>111</v>
      </c>
      <c r="E74" s="38"/>
      <c r="F74" s="38"/>
      <c r="G74" s="20" t="str">
        <f>G69</f>
        <v>HIGH</v>
      </c>
      <c r="H74" s="38" t="s">
        <v>131</v>
      </c>
      <c r="I74" s="20" t="str">
        <f>I69</f>
        <v>Developer 2</v>
      </c>
      <c r="J74" s="20"/>
      <c r="K74" s="20" t="s">
        <v>136</v>
      </c>
      <c r="L74" s="20"/>
      <c r="M74" s="20"/>
      <c r="N74" s="27" t="s">
        <v>11</v>
      </c>
      <c r="O74" s="21">
        <f t="shared" si="16"/>
        <v>0</v>
      </c>
      <c r="P74" s="22">
        <f>Q73+1+2*INT((WEEKDAY(Q73,1)-1+1)/5)</f>
        <v>46300</v>
      </c>
      <c r="Q74" s="22">
        <f>P74+(Settings!$B$11)-1+2*INT((WEEKDAY(P74,1)-1+(Settings!$B$11)-1)/5)</f>
        <v>46300</v>
      </c>
      <c r="R74" s="28"/>
      <c r="S74" s="28"/>
      <c r="T74" s="20">
        <f t="shared" ca="1" si="6"/>
        <v>0</v>
      </c>
      <c r="U74" s="20" t="str">
        <f t="shared" ca="1" si="7"/>
        <v>Green</v>
      </c>
      <c r="V74" s="38" t="s">
        <v>130</v>
      </c>
      <c r="W74" s="39"/>
      <c r="X74" s="39"/>
      <c r="Y74" s="40">
        <v>46233.453472222223</v>
      </c>
      <c r="Z74" s="38" t="s">
        <v>132</v>
      </c>
    </row>
    <row r="75" spans="1:26" ht="21" customHeight="1">
      <c r="A75" s="38"/>
      <c r="B75" s="20"/>
      <c r="C75" s="20"/>
      <c r="D75" s="20" t="s">
        <v>112</v>
      </c>
      <c r="E75" s="38"/>
      <c r="F75" s="38"/>
      <c r="G75" s="20" t="str">
        <f>G69</f>
        <v>HIGH</v>
      </c>
      <c r="H75" s="38" t="s">
        <v>131</v>
      </c>
      <c r="I75" s="20" t="str">
        <f>I69</f>
        <v>Developer 2</v>
      </c>
      <c r="J75" s="20"/>
      <c r="K75" s="20" t="s">
        <v>135</v>
      </c>
      <c r="L75" s="20"/>
      <c r="M75" s="20"/>
      <c r="N75" s="27" t="s">
        <v>11</v>
      </c>
      <c r="O75" s="21">
        <f t="shared" si="16"/>
        <v>0</v>
      </c>
      <c r="P75" s="22">
        <f>Q74+1+2*INT((WEEKDAY(Q74,1)-1+1)/5)</f>
        <v>46301</v>
      </c>
      <c r="Q75" s="22">
        <f>P75+(Settings!$B$12)-1+2*INT((WEEKDAY(P75,1)-1+(Settings!$B$12)-1)/5)</f>
        <v>46301</v>
      </c>
      <c r="R75" s="28"/>
      <c r="S75" s="28"/>
      <c r="T75" s="20">
        <f t="shared" ca="1" si="6"/>
        <v>0</v>
      </c>
      <c r="U75" s="20" t="str">
        <f t="shared" ca="1" si="7"/>
        <v>Green</v>
      </c>
      <c r="V75" s="38" t="s">
        <v>130</v>
      </c>
      <c r="W75" s="39"/>
      <c r="X75" s="39"/>
      <c r="Y75" s="40">
        <v>46233.453472222223</v>
      </c>
      <c r="Z75" s="38" t="s">
        <v>132</v>
      </c>
    </row>
    <row r="76" spans="1:26" ht="21" customHeight="1">
      <c r="A76" s="17" t="s">
        <v>145</v>
      </c>
      <c r="B76" s="17" t="s">
        <v>52</v>
      </c>
      <c r="C76" s="17"/>
      <c r="D76" s="17" t="s">
        <v>10</v>
      </c>
      <c r="E76" s="35"/>
      <c r="F76" s="35"/>
      <c r="G76" s="17" t="str">
        <f>'Process Summary'!B13</f>
        <v>MEDIUM</v>
      </c>
      <c r="H76" s="35" t="s">
        <v>131</v>
      </c>
      <c r="I76" s="17" t="str">
        <f>'Process Summary'!C13</f>
        <v>Developer 1</v>
      </c>
      <c r="J76" s="17"/>
      <c r="K76" s="17"/>
      <c r="L76" s="17"/>
      <c r="M76" s="17"/>
      <c r="N76" s="17" t="str">
        <f>IF(O76=100%,"Completed",IF(N77="On Hold","On Hold",IF(N78="On Hold","On Hold",IF(N79="On Hold","On Hold",IF(N80="On Hold","On Hold",IF(N81="On Hold","On Hold",IF(N82="On Hold","On Hold",IF(O76&gt;0%,"In Progress","Not Started"))))))))</f>
        <v>Not Started</v>
      </c>
      <c r="O76" s="18">
        <f>(O77*3+O78*5+O79+O80*IF(G76="LOW",13,IF(G76="MEDIUM",23,33))+O81*2+O82)/(12+IF(G76="LOW",13,IF(G76="MEDIUM",23,33)))</f>
        <v>0</v>
      </c>
      <c r="P76" s="19">
        <f>'Process Summary'!G13</f>
        <v>46266</v>
      </c>
      <c r="Q76" s="19">
        <f>Q82</f>
        <v>46301</v>
      </c>
      <c r="R76" s="19" t="str">
        <f>IF(COUNT(R77:R82)=0,"",MIN(R77:R82))</f>
        <v/>
      </c>
      <c r="S76" s="19" t="str">
        <f>IF(COUNT(S77:S82)=0,"",MAX(S77:S82))</f>
        <v/>
      </c>
      <c r="T76" s="17">
        <f t="shared" ca="1" si="6"/>
        <v>0</v>
      </c>
      <c r="U76" s="17" t="str">
        <f t="shared" ca="1" si="7"/>
        <v>Green</v>
      </c>
      <c r="V76" s="35" t="s">
        <v>130</v>
      </c>
      <c r="W76" s="36"/>
      <c r="X76" s="36"/>
      <c r="Y76" s="37">
        <v>46233.453472222223</v>
      </c>
      <c r="Z76" s="35" t="s">
        <v>132</v>
      </c>
    </row>
    <row r="77" spans="1:26" ht="21" customHeight="1">
      <c r="A77" s="38"/>
      <c r="B77" s="20"/>
      <c r="C77" s="20"/>
      <c r="D77" s="20" t="s">
        <v>107</v>
      </c>
      <c r="E77" s="38"/>
      <c r="F77" s="38"/>
      <c r="G77" s="20" t="str">
        <f>G76</f>
        <v>MEDIUM</v>
      </c>
      <c r="H77" s="38" t="s">
        <v>131</v>
      </c>
      <c r="I77" s="20" t="str">
        <f>I76</f>
        <v>Developer 1</v>
      </c>
      <c r="J77" s="20"/>
      <c r="K77" s="20" t="s">
        <v>133</v>
      </c>
      <c r="L77" s="20"/>
      <c r="M77" s="20"/>
      <c r="N77" s="27" t="s">
        <v>11</v>
      </c>
      <c r="O77" s="21">
        <f t="shared" ref="O77:O82" si="17">IF(N77="Completed",100%,IF(OR(N77="In Progress",N77="On Hold"),50%,0%))</f>
        <v>0</v>
      </c>
      <c r="P77" s="22">
        <f>P76</f>
        <v>46266</v>
      </c>
      <c r="Q77" s="22">
        <f>P77+(Settings!$B$5)-1+2*INT((WEEKDAY(P77,1)-1+(Settings!$B$5)-1)/5)</f>
        <v>46268</v>
      </c>
      <c r="R77" s="28"/>
      <c r="S77" s="28"/>
      <c r="T77" s="20">
        <f t="shared" ref="T77:T140" ca="1" si="18">IF(N77="Cancelled","",IF(S77&lt;&gt;"",S77-Q77,IF(AND(N77&lt;&gt;"Completed",TODAY()&gt;Q77),TODAY()-Q77,0)))</f>
        <v>0</v>
      </c>
      <c r="U77" s="20" t="str">
        <f t="shared" ref="U77:U140" ca="1" si="19">IF(N77="Cancelled","Gray",IF(N77="On Hold","Red",IF(N77="Completed",IF(T77&gt;5,"Red",IF(T77&gt;0,"Amber","Green")),IF(T77&gt;5,"Red",IF(T77&gt;0,"Amber","Green")))))</f>
        <v>Green</v>
      </c>
      <c r="V77" s="38" t="s">
        <v>130</v>
      </c>
      <c r="W77" s="39"/>
      <c r="X77" s="39"/>
      <c r="Y77" s="40">
        <v>46233.453472222223</v>
      </c>
      <c r="Z77" s="38" t="s">
        <v>132</v>
      </c>
    </row>
    <row r="78" spans="1:26" ht="21" customHeight="1">
      <c r="A78" s="38"/>
      <c r="B78" s="20"/>
      <c r="C78" s="20"/>
      <c r="D78" s="20" t="s">
        <v>108</v>
      </c>
      <c r="E78" s="38"/>
      <c r="F78" s="38"/>
      <c r="G78" s="20" t="str">
        <f>G76</f>
        <v>MEDIUM</v>
      </c>
      <c r="H78" s="38" t="s">
        <v>131</v>
      </c>
      <c r="I78" s="20" t="str">
        <f>I76</f>
        <v>Developer 1</v>
      </c>
      <c r="J78" s="20"/>
      <c r="K78" s="20" t="s">
        <v>133</v>
      </c>
      <c r="L78" s="20"/>
      <c r="M78" s="20"/>
      <c r="N78" s="27" t="s">
        <v>11</v>
      </c>
      <c r="O78" s="21">
        <f t="shared" si="17"/>
        <v>0</v>
      </c>
      <c r="P78" s="22">
        <f>Q77+1+2*INT((WEEKDAY(Q77,1)-1+1)/5)</f>
        <v>46271</v>
      </c>
      <c r="Q78" s="22">
        <f>P78+(Settings!$B$6)-1+2*INT((WEEKDAY(P78,1)-1+(Settings!$B$6)-1)/5)</f>
        <v>46275</v>
      </c>
      <c r="R78" s="28"/>
      <c r="S78" s="28"/>
      <c r="T78" s="20">
        <f t="shared" ca="1" si="18"/>
        <v>0</v>
      </c>
      <c r="U78" s="20" t="str">
        <f t="shared" ca="1" si="19"/>
        <v>Green</v>
      </c>
      <c r="V78" s="38" t="s">
        <v>130</v>
      </c>
      <c r="W78" s="39"/>
      <c r="X78" s="39"/>
      <c r="Y78" s="40">
        <v>46233.453472222223</v>
      </c>
      <c r="Z78" s="38" t="s">
        <v>132</v>
      </c>
    </row>
    <row r="79" spans="1:26" ht="21" customHeight="1">
      <c r="A79" s="38"/>
      <c r="B79" s="20"/>
      <c r="C79" s="20"/>
      <c r="D79" s="20" t="s">
        <v>109</v>
      </c>
      <c r="E79" s="38"/>
      <c r="F79" s="38"/>
      <c r="G79" s="20" t="str">
        <f>G76</f>
        <v>MEDIUM</v>
      </c>
      <c r="H79" s="38" t="s">
        <v>131</v>
      </c>
      <c r="I79" s="20" t="str">
        <f>I76</f>
        <v>Developer 1</v>
      </c>
      <c r="J79" s="20"/>
      <c r="K79" s="20" t="s">
        <v>134</v>
      </c>
      <c r="L79" s="20"/>
      <c r="M79" s="23"/>
      <c r="N79" s="27" t="s">
        <v>11</v>
      </c>
      <c r="O79" s="21">
        <f t="shared" si="17"/>
        <v>0</v>
      </c>
      <c r="P79" s="22">
        <f>Q78+1+2*INT((WEEKDAY(Q78,1)-1+1)/5)</f>
        <v>46278</v>
      </c>
      <c r="Q79" s="22">
        <f>P79+(Settings!$B$7)-1+2*INT((WEEKDAY(P79,1)-1+(Settings!$B$7)-1)/5)</f>
        <v>46278</v>
      </c>
      <c r="R79" s="28"/>
      <c r="S79" s="28"/>
      <c r="T79" s="20">
        <f t="shared" ca="1" si="18"/>
        <v>0</v>
      </c>
      <c r="U79" s="20" t="str">
        <f t="shared" ca="1" si="19"/>
        <v>Green</v>
      </c>
      <c r="V79" s="38" t="s">
        <v>130</v>
      </c>
      <c r="W79" s="39"/>
      <c r="X79" s="39"/>
      <c r="Y79" s="40">
        <v>46233.453472222223</v>
      </c>
      <c r="Z79" s="38" t="s">
        <v>132</v>
      </c>
    </row>
    <row r="80" spans="1:26" ht="21" customHeight="1">
      <c r="A80" s="38"/>
      <c r="B80" s="20"/>
      <c r="C80" s="20"/>
      <c r="D80" s="20" t="s">
        <v>110</v>
      </c>
      <c r="E80" s="38"/>
      <c r="F80" s="38"/>
      <c r="G80" s="20" t="str">
        <f>G76</f>
        <v>MEDIUM</v>
      </c>
      <c r="H80" s="38" t="s">
        <v>131</v>
      </c>
      <c r="I80" s="20" t="str">
        <f>I76</f>
        <v>Developer 1</v>
      </c>
      <c r="J80" s="20"/>
      <c r="K80" s="20" t="s">
        <v>135</v>
      </c>
      <c r="L80" s="20"/>
      <c r="M80" s="20"/>
      <c r="N80" s="27" t="s">
        <v>11</v>
      </c>
      <c r="O80" s="21">
        <f t="shared" si="17"/>
        <v>0</v>
      </c>
      <c r="P80" s="22">
        <f>Q79+1+2*INT((WEEKDAY(Q79,1)-1+1)/5)</f>
        <v>46279</v>
      </c>
      <c r="Q80" s="22">
        <f>P80+(IF(G80="LOW",Settings!$B$8,IF(G80="MEDIUM",Settings!$B$9,Settings!$B$10)))-1+2*INT((WEEKDAY(P80,1)-1+(IF(G80="LOW",Settings!$B$8,IF(G80="MEDIUM",Settings!$B$9,Settings!$B$10)))-1)/5)</f>
        <v>46299</v>
      </c>
      <c r="R80" s="28"/>
      <c r="S80" s="28"/>
      <c r="T80" s="20">
        <f t="shared" ca="1" si="18"/>
        <v>0</v>
      </c>
      <c r="U80" s="20" t="str">
        <f t="shared" ca="1" si="19"/>
        <v>Green</v>
      </c>
      <c r="V80" s="38" t="s">
        <v>130</v>
      </c>
      <c r="W80" s="39"/>
      <c r="X80" s="39"/>
      <c r="Y80" s="40">
        <v>46233.453472222223</v>
      </c>
      <c r="Z80" s="38" t="s">
        <v>132</v>
      </c>
    </row>
    <row r="81" spans="1:26" ht="21" customHeight="1">
      <c r="A81" s="38"/>
      <c r="B81" s="20"/>
      <c r="C81" s="20"/>
      <c r="D81" s="20" t="s">
        <v>111</v>
      </c>
      <c r="E81" s="38"/>
      <c r="F81" s="38"/>
      <c r="G81" s="20" t="str">
        <f>G76</f>
        <v>MEDIUM</v>
      </c>
      <c r="H81" s="38" t="s">
        <v>131</v>
      </c>
      <c r="I81" s="20" t="str">
        <f>I76</f>
        <v>Developer 1</v>
      </c>
      <c r="J81" s="20"/>
      <c r="K81" s="20" t="s">
        <v>136</v>
      </c>
      <c r="L81" s="20"/>
      <c r="M81" s="20"/>
      <c r="N81" s="27" t="s">
        <v>11</v>
      </c>
      <c r="O81" s="21">
        <f t="shared" si="17"/>
        <v>0</v>
      </c>
      <c r="P81" s="22">
        <f>Q80+1+2*INT((WEEKDAY(Q80,1)-1+1)/5)</f>
        <v>46300</v>
      </c>
      <c r="Q81" s="22">
        <f>P81+(Settings!$B$11)-1+2*INT((WEEKDAY(P81,1)-1+(Settings!$B$11)-1)/5)</f>
        <v>46300</v>
      </c>
      <c r="R81" s="28"/>
      <c r="S81" s="28"/>
      <c r="T81" s="20">
        <f t="shared" ca="1" si="18"/>
        <v>0</v>
      </c>
      <c r="U81" s="20" t="str">
        <f t="shared" ca="1" si="19"/>
        <v>Green</v>
      </c>
      <c r="V81" s="38" t="s">
        <v>130</v>
      </c>
      <c r="W81" s="39"/>
      <c r="X81" s="39"/>
      <c r="Y81" s="40">
        <v>46233.453472222223</v>
      </c>
      <c r="Z81" s="38" t="s">
        <v>132</v>
      </c>
    </row>
    <row r="82" spans="1:26" ht="21" customHeight="1">
      <c r="A82" s="38"/>
      <c r="B82" s="20"/>
      <c r="C82" s="20"/>
      <c r="D82" s="20" t="s">
        <v>112</v>
      </c>
      <c r="E82" s="38"/>
      <c r="F82" s="38"/>
      <c r="G82" s="20" t="str">
        <f>G76</f>
        <v>MEDIUM</v>
      </c>
      <c r="H82" s="38" t="s">
        <v>131</v>
      </c>
      <c r="I82" s="20" t="str">
        <f>I76</f>
        <v>Developer 1</v>
      </c>
      <c r="J82" s="20"/>
      <c r="K82" s="20" t="s">
        <v>135</v>
      </c>
      <c r="L82" s="20"/>
      <c r="M82" s="20"/>
      <c r="N82" s="27" t="s">
        <v>11</v>
      </c>
      <c r="O82" s="21">
        <f t="shared" si="17"/>
        <v>0</v>
      </c>
      <c r="P82" s="22">
        <f>Q81+1+2*INT((WEEKDAY(Q81,1)-1+1)/5)</f>
        <v>46301</v>
      </c>
      <c r="Q82" s="22">
        <f>P82+(Settings!$B$12)-1+2*INT((WEEKDAY(P82,1)-1+(Settings!$B$12)-1)/5)</f>
        <v>46301</v>
      </c>
      <c r="R82" s="28"/>
      <c r="S82" s="28"/>
      <c r="T82" s="20">
        <f t="shared" ca="1" si="18"/>
        <v>0</v>
      </c>
      <c r="U82" s="20" t="str">
        <f t="shared" ca="1" si="19"/>
        <v>Green</v>
      </c>
      <c r="V82" s="38" t="s">
        <v>130</v>
      </c>
      <c r="W82" s="39"/>
      <c r="X82" s="39"/>
      <c r="Y82" s="40">
        <v>46233.453472222223</v>
      </c>
      <c r="Z82" s="38" t="s">
        <v>132</v>
      </c>
    </row>
    <row r="83" spans="1:26" ht="21" customHeight="1">
      <c r="A83" s="17" t="s">
        <v>146</v>
      </c>
      <c r="B83" s="17" t="s">
        <v>52</v>
      </c>
      <c r="C83" s="17"/>
      <c r="D83" s="17" t="s">
        <v>10</v>
      </c>
      <c r="E83" s="35"/>
      <c r="F83" s="35"/>
      <c r="G83" s="17" t="str">
        <f>'Process Summary'!B14</f>
        <v>MEDIUM</v>
      </c>
      <c r="H83" s="35" t="s">
        <v>131</v>
      </c>
      <c r="I83" s="17" t="str">
        <f>'Process Summary'!C14</f>
        <v>Developer 3</v>
      </c>
      <c r="J83" s="17"/>
      <c r="K83" s="17"/>
      <c r="L83" s="17"/>
      <c r="M83" s="17"/>
      <c r="N83" s="17" t="str">
        <f>IF(O83=100%,"Completed",IF(N84="On Hold","On Hold",IF(N85="On Hold","On Hold",IF(N86="On Hold","On Hold",IF(N87="On Hold","On Hold",IF(N88="On Hold","On Hold",IF(N89="On Hold","On Hold",IF(O83&gt;0%,"In Progress","Not Started"))))))))</f>
        <v>Not Started</v>
      </c>
      <c r="O83" s="18">
        <f>(O84*3+O85*5+O86+O87*IF(G83="LOW",13,IF(G83="MEDIUM",23,33))+O88*2+O89)/(12+IF(G83="LOW",13,IF(G83="MEDIUM",23,33)))</f>
        <v>0</v>
      </c>
      <c r="P83" s="19">
        <f>'Process Summary'!G14</f>
        <v>46266</v>
      </c>
      <c r="Q83" s="19">
        <f>Q89</f>
        <v>46301</v>
      </c>
      <c r="R83" s="19" t="str">
        <f>IF(COUNT(R84:R89)=0,"",MIN(R84:R89))</f>
        <v/>
      </c>
      <c r="S83" s="19" t="str">
        <f>IF(COUNT(S84:S89)=0,"",MAX(S84:S89))</f>
        <v/>
      </c>
      <c r="T83" s="17">
        <f t="shared" ca="1" si="18"/>
        <v>0</v>
      </c>
      <c r="U83" s="17" t="str">
        <f t="shared" ca="1" si="19"/>
        <v>Green</v>
      </c>
      <c r="V83" s="35" t="s">
        <v>130</v>
      </c>
      <c r="W83" s="36"/>
      <c r="X83" s="36"/>
      <c r="Y83" s="37">
        <v>46233.453472222223</v>
      </c>
      <c r="Z83" s="35" t="s">
        <v>132</v>
      </c>
    </row>
    <row r="84" spans="1:26" ht="21" customHeight="1">
      <c r="A84" s="38"/>
      <c r="B84" s="20"/>
      <c r="C84" s="20"/>
      <c r="D84" s="20" t="s">
        <v>107</v>
      </c>
      <c r="E84" s="38"/>
      <c r="F84" s="38"/>
      <c r="G84" s="20" t="str">
        <f>G83</f>
        <v>MEDIUM</v>
      </c>
      <c r="H84" s="38" t="s">
        <v>131</v>
      </c>
      <c r="I84" s="20" t="str">
        <f>I83</f>
        <v>Developer 3</v>
      </c>
      <c r="J84" s="20"/>
      <c r="K84" s="20" t="s">
        <v>133</v>
      </c>
      <c r="L84" s="20"/>
      <c r="M84" s="20"/>
      <c r="N84" s="27" t="s">
        <v>11</v>
      </c>
      <c r="O84" s="21">
        <f t="shared" ref="O84:O89" si="20">IF(N84="Completed",100%,IF(OR(N84="In Progress",N84="On Hold"),50%,0%))</f>
        <v>0</v>
      </c>
      <c r="P84" s="22">
        <f>P83</f>
        <v>46266</v>
      </c>
      <c r="Q84" s="22">
        <f>P84+(Settings!$B$5)-1+2*INT((WEEKDAY(P84,1)-1+(Settings!$B$5)-1)/5)</f>
        <v>46268</v>
      </c>
      <c r="R84" s="28"/>
      <c r="S84" s="28"/>
      <c r="T84" s="20">
        <f t="shared" ca="1" si="18"/>
        <v>0</v>
      </c>
      <c r="U84" s="20" t="str">
        <f t="shared" ca="1" si="19"/>
        <v>Green</v>
      </c>
      <c r="V84" s="38" t="s">
        <v>130</v>
      </c>
      <c r="W84" s="39"/>
      <c r="X84" s="39"/>
      <c r="Y84" s="40">
        <v>46233.453472222223</v>
      </c>
      <c r="Z84" s="38" t="s">
        <v>132</v>
      </c>
    </row>
    <row r="85" spans="1:26" ht="21" customHeight="1">
      <c r="A85" s="38"/>
      <c r="B85" s="20"/>
      <c r="C85" s="20"/>
      <c r="D85" s="20" t="s">
        <v>108</v>
      </c>
      <c r="E85" s="38"/>
      <c r="F85" s="38"/>
      <c r="G85" s="20" t="str">
        <f>G83</f>
        <v>MEDIUM</v>
      </c>
      <c r="H85" s="38" t="s">
        <v>131</v>
      </c>
      <c r="I85" s="20" t="str">
        <f>I83</f>
        <v>Developer 3</v>
      </c>
      <c r="J85" s="20"/>
      <c r="K85" s="20" t="s">
        <v>133</v>
      </c>
      <c r="L85" s="20"/>
      <c r="M85" s="20"/>
      <c r="N85" s="27" t="s">
        <v>11</v>
      </c>
      <c r="O85" s="21">
        <f t="shared" si="20"/>
        <v>0</v>
      </c>
      <c r="P85" s="22">
        <f>Q84+1+2*INT((WEEKDAY(Q84,1)-1+1)/5)</f>
        <v>46271</v>
      </c>
      <c r="Q85" s="22">
        <f>P85+(Settings!$B$6)-1+2*INT((WEEKDAY(P85,1)-1+(Settings!$B$6)-1)/5)</f>
        <v>46275</v>
      </c>
      <c r="R85" s="28"/>
      <c r="S85" s="28"/>
      <c r="T85" s="20">
        <f t="shared" ca="1" si="18"/>
        <v>0</v>
      </c>
      <c r="U85" s="20" t="str">
        <f t="shared" ca="1" si="19"/>
        <v>Green</v>
      </c>
      <c r="V85" s="38" t="s">
        <v>130</v>
      </c>
      <c r="W85" s="39"/>
      <c r="X85" s="39"/>
      <c r="Y85" s="40">
        <v>46233.453472222223</v>
      </c>
      <c r="Z85" s="38" t="s">
        <v>132</v>
      </c>
    </row>
    <row r="86" spans="1:26" ht="21" customHeight="1">
      <c r="A86" s="38"/>
      <c r="B86" s="20"/>
      <c r="C86" s="20"/>
      <c r="D86" s="20" t="s">
        <v>109</v>
      </c>
      <c r="E86" s="38"/>
      <c r="F86" s="38"/>
      <c r="G86" s="20" t="str">
        <f>G83</f>
        <v>MEDIUM</v>
      </c>
      <c r="H86" s="38" t="s">
        <v>131</v>
      </c>
      <c r="I86" s="20" t="str">
        <f>I83</f>
        <v>Developer 3</v>
      </c>
      <c r="J86" s="20"/>
      <c r="K86" s="20" t="s">
        <v>134</v>
      </c>
      <c r="L86" s="20"/>
      <c r="M86" s="23"/>
      <c r="N86" s="27" t="s">
        <v>11</v>
      </c>
      <c r="O86" s="21">
        <f t="shared" si="20"/>
        <v>0</v>
      </c>
      <c r="P86" s="22">
        <f>Q85+1+2*INT((WEEKDAY(Q85,1)-1+1)/5)</f>
        <v>46278</v>
      </c>
      <c r="Q86" s="22">
        <f>P86+(Settings!$B$7)-1+2*INT((WEEKDAY(P86,1)-1+(Settings!$B$7)-1)/5)</f>
        <v>46278</v>
      </c>
      <c r="R86" s="28"/>
      <c r="S86" s="28"/>
      <c r="T86" s="20">
        <f t="shared" ca="1" si="18"/>
        <v>0</v>
      </c>
      <c r="U86" s="20" t="str">
        <f t="shared" ca="1" si="19"/>
        <v>Green</v>
      </c>
      <c r="V86" s="38" t="s">
        <v>130</v>
      </c>
      <c r="W86" s="39"/>
      <c r="X86" s="39"/>
      <c r="Y86" s="40">
        <v>46233.453472222223</v>
      </c>
      <c r="Z86" s="38" t="s">
        <v>132</v>
      </c>
    </row>
    <row r="87" spans="1:26" ht="21" customHeight="1">
      <c r="A87" s="38"/>
      <c r="B87" s="20"/>
      <c r="C87" s="20"/>
      <c r="D87" s="20" t="s">
        <v>110</v>
      </c>
      <c r="E87" s="38"/>
      <c r="F87" s="38"/>
      <c r="G87" s="20" t="str">
        <f>G83</f>
        <v>MEDIUM</v>
      </c>
      <c r="H87" s="38" t="s">
        <v>131</v>
      </c>
      <c r="I87" s="20" t="str">
        <f>I83</f>
        <v>Developer 3</v>
      </c>
      <c r="J87" s="20"/>
      <c r="K87" s="20" t="s">
        <v>135</v>
      </c>
      <c r="L87" s="20"/>
      <c r="M87" s="20"/>
      <c r="N87" s="27" t="s">
        <v>11</v>
      </c>
      <c r="O87" s="21">
        <f t="shared" si="20"/>
        <v>0</v>
      </c>
      <c r="P87" s="22">
        <f>Q86+1+2*INT((WEEKDAY(Q86,1)-1+1)/5)</f>
        <v>46279</v>
      </c>
      <c r="Q87" s="22">
        <f>P87+(IF(G87="LOW",Settings!$B$8,IF(G87="MEDIUM",Settings!$B$9,Settings!$B$10)))-1+2*INT((WEEKDAY(P87,1)-1+(IF(G87="LOW",Settings!$B$8,IF(G87="MEDIUM",Settings!$B$9,Settings!$B$10)))-1)/5)</f>
        <v>46299</v>
      </c>
      <c r="R87" s="28"/>
      <c r="S87" s="28"/>
      <c r="T87" s="20">
        <f t="shared" ca="1" si="18"/>
        <v>0</v>
      </c>
      <c r="U87" s="20" t="str">
        <f t="shared" ca="1" si="19"/>
        <v>Green</v>
      </c>
      <c r="V87" s="38" t="s">
        <v>130</v>
      </c>
      <c r="W87" s="39"/>
      <c r="X87" s="39"/>
      <c r="Y87" s="40">
        <v>46233.453472222223</v>
      </c>
      <c r="Z87" s="38" t="s">
        <v>132</v>
      </c>
    </row>
    <row r="88" spans="1:26" ht="21" customHeight="1">
      <c r="A88" s="38"/>
      <c r="B88" s="20"/>
      <c r="C88" s="20"/>
      <c r="D88" s="20" t="s">
        <v>111</v>
      </c>
      <c r="E88" s="38"/>
      <c r="F88" s="38"/>
      <c r="G88" s="20" t="str">
        <f>G83</f>
        <v>MEDIUM</v>
      </c>
      <c r="H88" s="38" t="s">
        <v>131</v>
      </c>
      <c r="I88" s="20" t="str">
        <f>I83</f>
        <v>Developer 3</v>
      </c>
      <c r="J88" s="20"/>
      <c r="K88" s="20" t="s">
        <v>136</v>
      </c>
      <c r="L88" s="20"/>
      <c r="M88" s="20"/>
      <c r="N88" s="27" t="s">
        <v>11</v>
      </c>
      <c r="O88" s="21">
        <f t="shared" si="20"/>
        <v>0</v>
      </c>
      <c r="P88" s="22">
        <f>Q87+1+2*INT((WEEKDAY(Q87,1)-1+1)/5)</f>
        <v>46300</v>
      </c>
      <c r="Q88" s="22">
        <f>P88+(Settings!$B$11)-1+2*INT((WEEKDAY(P88,1)-1+(Settings!$B$11)-1)/5)</f>
        <v>46300</v>
      </c>
      <c r="R88" s="28"/>
      <c r="S88" s="28"/>
      <c r="T88" s="20">
        <f t="shared" ca="1" si="18"/>
        <v>0</v>
      </c>
      <c r="U88" s="20" t="str">
        <f t="shared" ca="1" si="19"/>
        <v>Green</v>
      </c>
      <c r="V88" s="38" t="s">
        <v>130</v>
      </c>
      <c r="W88" s="39"/>
      <c r="X88" s="39"/>
      <c r="Y88" s="40">
        <v>46233.453472222223</v>
      </c>
      <c r="Z88" s="38" t="s">
        <v>132</v>
      </c>
    </row>
    <row r="89" spans="1:26" ht="21" customHeight="1">
      <c r="A89" s="38"/>
      <c r="B89" s="20"/>
      <c r="C89" s="20"/>
      <c r="D89" s="20" t="s">
        <v>112</v>
      </c>
      <c r="E89" s="38"/>
      <c r="F89" s="38"/>
      <c r="G89" s="20" t="str">
        <f>G83</f>
        <v>MEDIUM</v>
      </c>
      <c r="H89" s="38" t="s">
        <v>131</v>
      </c>
      <c r="I89" s="20" t="str">
        <f>I83</f>
        <v>Developer 3</v>
      </c>
      <c r="J89" s="20"/>
      <c r="K89" s="20" t="s">
        <v>135</v>
      </c>
      <c r="L89" s="20"/>
      <c r="M89" s="20"/>
      <c r="N89" s="27" t="s">
        <v>11</v>
      </c>
      <c r="O89" s="21">
        <f t="shared" si="20"/>
        <v>0</v>
      </c>
      <c r="P89" s="22">
        <f>Q88+1+2*INT((WEEKDAY(Q88,1)-1+1)/5)</f>
        <v>46301</v>
      </c>
      <c r="Q89" s="22">
        <f>P89+(Settings!$B$12)-1+2*INT((WEEKDAY(P89,1)-1+(Settings!$B$12)-1)/5)</f>
        <v>46301</v>
      </c>
      <c r="R89" s="28"/>
      <c r="S89" s="28"/>
      <c r="T89" s="20">
        <f t="shared" ca="1" si="18"/>
        <v>0</v>
      </c>
      <c r="U89" s="20" t="str">
        <f t="shared" ca="1" si="19"/>
        <v>Green</v>
      </c>
      <c r="V89" s="38" t="s">
        <v>130</v>
      </c>
      <c r="W89" s="39"/>
      <c r="X89" s="39"/>
      <c r="Y89" s="40">
        <v>46233.453472222223</v>
      </c>
      <c r="Z89" s="38" t="s">
        <v>132</v>
      </c>
    </row>
    <row r="90" spans="1:26" ht="21" customHeight="1">
      <c r="A90" s="17" t="s">
        <v>147</v>
      </c>
      <c r="B90" s="17" t="s">
        <v>52</v>
      </c>
      <c r="C90" s="17"/>
      <c r="D90" s="17" t="s">
        <v>10</v>
      </c>
      <c r="E90" s="35"/>
      <c r="F90" s="35"/>
      <c r="G90" s="17" t="str">
        <f>'Process Summary'!B15</f>
        <v>MEDIUM</v>
      </c>
      <c r="H90" s="35" t="s">
        <v>131</v>
      </c>
      <c r="I90" s="17" t="str">
        <f>'Process Summary'!C15</f>
        <v>Developer 4</v>
      </c>
      <c r="J90" s="17"/>
      <c r="K90" s="17"/>
      <c r="L90" s="17"/>
      <c r="M90" s="17"/>
      <c r="N90" s="17" t="str">
        <f>IF(O90=100%,"Completed",IF(N91="On Hold","On Hold",IF(N92="On Hold","On Hold",IF(N93="On Hold","On Hold",IF(N94="On Hold","On Hold",IF(N95="On Hold","On Hold",IF(N96="On Hold","On Hold",IF(O90&gt;0%,"In Progress","Not Started"))))))))</f>
        <v>Not Started</v>
      </c>
      <c r="O90" s="18">
        <f>(O91*3+O92*5+O93+O94*IF(G90="LOW",13,IF(G90="MEDIUM",23,33))+O95*2+O96)/(12+IF(G90="LOW",13,IF(G90="MEDIUM",23,33)))</f>
        <v>0</v>
      </c>
      <c r="P90" s="19">
        <f>'Process Summary'!G15</f>
        <v>46266</v>
      </c>
      <c r="Q90" s="19">
        <f>Q96</f>
        <v>46301</v>
      </c>
      <c r="R90" s="19" t="str">
        <f>IF(COUNT(R91:R96)=0,"",MIN(R91:R96))</f>
        <v/>
      </c>
      <c r="S90" s="19" t="str">
        <f>IF(COUNT(S91:S96)=0,"",MAX(S91:S96))</f>
        <v/>
      </c>
      <c r="T90" s="17">
        <f t="shared" ca="1" si="18"/>
        <v>0</v>
      </c>
      <c r="U90" s="17" t="str">
        <f t="shared" ca="1" si="19"/>
        <v>Green</v>
      </c>
      <c r="V90" s="35" t="s">
        <v>130</v>
      </c>
      <c r="W90" s="36"/>
      <c r="X90" s="36"/>
      <c r="Y90" s="37">
        <v>46233.453472222223</v>
      </c>
      <c r="Z90" s="35" t="s">
        <v>132</v>
      </c>
    </row>
    <row r="91" spans="1:26" ht="21" customHeight="1">
      <c r="A91" s="38"/>
      <c r="B91" s="20"/>
      <c r="C91" s="20"/>
      <c r="D91" s="20" t="s">
        <v>107</v>
      </c>
      <c r="E91" s="38"/>
      <c r="F91" s="38"/>
      <c r="G91" s="20" t="str">
        <f>G90</f>
        <v>MEDIUM</v>
      </c>
      <c r="H91" s="38" t="s">
        <v>131</v>
      </c>
      <c r="I91" s="20" t="str">
        <f>I90</f>
        <v>Developer 4</v>
      </c>
      <c r="J91" s="20"/>
      <c r="K91" s="20" t="s">
        <v>133</v>
      </c>
      <c r="L91" s="20"/>
      <c r="M91" s="20"/>
      <c r="N91" s="27" t="s">
        <v>11</v>
      </c>
      <c r="O91" s="21">
        <f t="shared" ref="O91:O96" si="21">IF(N91="Completed",100%,IF(OR(N91="In Progress",N91="On Hold"),50%,0%))</f>
        <v>0</v>
      </c>
      <c r="P91" s="22">
        <f>P90</f>
        <v>46266</v>
      </c>
      <c r="Q91" s="22">
        <f>P91+(Settings!$B$5)-1+2*INT((WEEKDAY(P91,1)-1+(Settings!$B$5)-1)/5)</f>
        <v>46268</v>
      </c>
      <c r="R91" s="28"/>
      <c r="S91" s="28"/>
      <c r="T91" s="20">
        <f t="shared" ca="1" si="18"/>
        <v>0</v>
      </c>
      <c r="U91" s="20" t="str">
        <f t="shared" ca="1" si="19"/>
        <v>Green</v>
      </c>
      <c r="V91" s="38" t="s">
        <v>130</v>
      </c>
      <c r="W91" s="39"/>
      <c r="X91" s="39"/>
      <c r="Y91" s="40">
        <v>46233.453472222223</v>
      </c>
      <c r="Z91" s="38" t="s">
        <v>132</v>
      </c>
    </row>
    <row r="92" spans="1:26" ht="21" customHeight="1">
      <c r="A92" s="38"/>
      <c r="B92" s="20"/>
      <c r="C92" s="20"/>
      <c r="D92" s="20" t="s">
        <v>108</v>
      </c>
      <c r="E92" s="38"/>
      <c r="F92" s="38"/>
      <c r="G92" s="20" t="str">
        <f>G90</f>
        <v>MEDIUM</v>
      </c>
      <c r="H92" s="38" t="s">
        <v>131</v>
      </c>
      <c r="I92" s="20" t="str">
        <f>I90</f>
        <v>Developer 4</v>
      </c>
      <c r="J92" s="20"/>
      <c r="K92" s="20" t="s">
        <v>133</v>
      </c>
      <c r="L92" s="20"/>
      <c r="M92" s="20"/>
      <c r="N92" s="27" t="s">
        <v>11</v>
      </c>
      <c r="O92" s="21">
        <f t="shared" si="21"/>
        <v>0</v>
      </c>
      <c r="P92" s="22">
        <f>Q91+1+2*INT((WEEKDAY(Q91,1)-1+1)/5)</f>
        <v>46271</v>
      </c>
      <c r="Q92" s="22">
        <f>P92+(Settings!$B$6)-1+2*INT((WEEKDAY(P92,1)-1+(Settings!$B$6)-1)/5)</f>
        <v>46275</v>
      </c>
      <c r="R92" s="28"/>
      <c r="S92" s="28"/>
      <c r="T92" s="20">
        <f t="shared" ca="1" si="18"/>
        <v>0</v>
      </c>
      <c r="U92" s="20" t="str">
        <f t="shared" ca="1" si="19"/>
        <v>Green</v>
      </c>
      <c r="V92" s="38" t="s">
        <v>130</v>
      </c>
      <c r="W92" s="39"/>
      <c r="X92" s="39"/>
      <c r="Y92" s="40">
        <v>46233.453472222223</v>
      </c>
      <c r="Z92" s="38" t="s">
        <v>132</v>
      </c>
    </row>
    <row r="93" spans="1:26" ht="21" customHeight="1">
      <c r="A93" s="38"/>
      <c r="B93" s="20"/>
      <c r="C93" s="20"/>
      <c r="D93" s="20" t="s">
        <v>109</v>
      </c>
      <c r="E93" s="38"/>
      <c r="F93" s="38"/>
      <c r="G93" s="20" t="str">
        <f>G90</f>
        <v>MEDIUM</v>
      </c>
      <c r="H93" s="38" t="s">
        <v>131</v>
      </c>
      <c r="I93" s="20" t="str">
        <f>I90</f>
        <v>Developer 4</v>
      </c>
      <c r="J93" s="20"/>
      <c r="K93" s="20" t="s">
        <v>134</v>
      </c>
      <c r="L93" s="20"/>
      <c r="M93" s="23"/>
      <c r="N93" s="27" t="s">
        <v>11</v>
      </c>
      <c r="O93" s="21">
        <f t="shared" si="21"/>
        <v>0</v>
      </c>
      <c r="P93" s="22">
        <f>Q92+1+2*INT((WEEKDAY(Q92,1)-1+1)/5)</f>
        <v>46278</v>
      </c>
      <c r="Q93" s="22">
        <f>P93+(Settings!$B$7)-1+2*INT((WEEKDAY(P93,1)-1+(Settings!$B$7)-1)/5)</f>
        <v>46278</v>
      </c>
      <c r="R93" s="28"/>
      <c r="S93" s="28"/>
      <c r="T93" s="20">
        <f t="shared" ca="1" si="18"/>
        <v>0</v>
      </c>
      <c r="U93" s="20" t="str">
        <f t="shared" ca="1" si="19"/>
        <v>Green</v>
      </c>
      <c r="V93" s="38" t="s">
        <v>130</v>
      </c>
      <c r="W93" s="39"/>
      <c r="X93" s="39"/>
      <c r="Y93" s="40">
        <v>46233.453472222223</v>
      </c>
      <c r="Z93" s="38" t="s">
        <v>132</v>
      </c>
    </row>
    <row r="94" spans="1:26" ht="21" customHeight="1">
      <c r="A94" s="38"/>
      <c r="B94" s="20"/>
      <c r="C94" s="20"/>
      <c r="D94" s="20" t="s">
        <v>110</v>
      </c>
      <c r="E94" s="38"/>
      <c r="F94" s="38"/>
      <c r="G94" s="20" t="str">
        <f>G90</f>
        <v>MEDIUM</v>
      </c>
      <c r="H94" s="38" t="s">
        <v>131</v>
      </c>
      <c r="I94" s="20" t="str">
        <f>I90</f>
        <v>Developer 4</v>
      </c>
      <c r="J94" s="20"/>
      <c r="K94" s="20" t="s">
        <v>135</v>
      </c>
      <c r="L94" s="20"/>
      <c r="M94" s="20"/>
      <c r="N94" s="27" t="s">
        <v>11</v>
      </c>
      <c r="O94" s="21">
        <f t="shared" si="21"/>
        <v>0</v>
      </c>
      <c r="P94" s="22">
        <f>Q93+1+2*INT((WEEKDAY(Q93,1)-1+1)/5)</f>
        <v>46279</v>
      </c>
      <c r="Q94" s="22">
        <f>P94+(IF(G94="LOW",Settings!$B$8,IF(G94="MEDIUM",Settings!$B$9,Settings!$B$10)))-1+2*INT((WEEKDAY(P94,1)-1+(IF(G94="LOW",Settings!$B$8,IF(G94="MEDIUM",Settings!$B$9,Settings!$B$10)))-1)/5)</f>
        <v>46299</v>
      </c>
      <c r="R94" s="28"/>
      <c r="S94" s="28"/>
      <c r="T94" s="20">
        <f t="shared" ca="1" si="18"/>
        <v>0</v>
      </c>
      <c r="U94" s="20" t="str">
        <f t="shared" ca="1" si="19"/>
        <v>Green</v>
      </c>
      <c r="V94" s="38" t="s">
        <v>130</v>
      </c>
      <c r="W94" s="39"/>
      <c r="X94" s="39"/>
      <c r="Y94" s="40">
        <v>46233.453472222223</v>
      </c>
      <c r="Z94" s="38" t="s">
        <v>132</v>
      </c>
    </row>
    <row r="95" spans="1:26" ht="21" customHeight="1">
      <c r="A95" s="38"/>
      <c r="B95" s="20"/>
      <c r="C95" s="20"/>
      <c r="D95" s="20" t="s">
        <v>111</v>
      </c>
      <c r="E95" s="38"/>
      <c r="F95" s="38"/>
      <c r="G95" s="20" t="str">
        <f>G90</f>
        <v>MEDIUM</v>
      </c>
      <c r="H95" s="38" t="s">
        <v>131</v>
      </c>
      <c r="I95" s="20" t="str">
        <f>I90</f>
        <v>Developer 4</v>
      </c>
      <c r="J95" s="20"/>
      <c r="K95" s="20" t="s">
        <v>136</v>
      </c>
      <c r="L95" s="20"/>
      <c r="M95" s="20"/>
      <c r="N95" s="27" t="s">
        <v>11</v>
      </c>
      <c r="O95" s="21">
        <f t="shared" si="21"/>
        <v>0</v>
      </c>
      <c r="P95" s="22">
        <f>Q94+1+2*INT((WEEKDAY(Q94,1)-1+1)/5)</f>
        <v>46300</v>
      </c>
      <c r="Q95" s="22">
        <f>P95+(Settings!$B$11)-1+2*INT((WEEKDAY(P95,1)-1+(Settings!$B$11)-1)/5)</f>
        <v>46300</v>
      </c>
      <c r="R95" s="28"/>
      <c r="S95" s="28"/>
      <c r="T95" s="20">
        <f t="shared" ca="1" si="18"/>
        <v>0</v>
      </c>
      <c r="U95" s="20" t="str">
        <f t="shared" ca="1" si="19"/>
        <v>Green</v>
      </c>
      <c r="V95" s="38" t="s">
        <v>130</v>
      </c>
      <c r="W95" s="39"/>
      <c r="X95" s="39"/>
      <c r="Y95" s="40">
        <v>46233.453472222223</v>
      </c>
      <c r="Z95" s="38" t="s">
        <v>132</v>
      </c>
    </row>
    <row r="96" spans="1:26" ht="21" customHeight="1">
      <c r="A96" s="38"/>
      <c r="B96" s="20"/>
      <c r="C96" s="20"/>
      <c r="D96" s="20" t="s">
        <v>112</v>
      </c>
      <c r="E96" s="38"/>
      <c r="F96" s="38"/>
      <c r="G96" s="20" t="str">
        <f>G90</f>
        <v>MEDIUM</v>
      </c>
      <c r="H96" s="38" t="s">
        <v>131</v>
      </c>
      <c r="I96" s="20" t="str">
        <f>I90</f>
        <v>Developer 4</v>
      </c>
      <c r="J96" s="20"/>
      <c r="K96" s="20" t="s">
        <v>135</v>
      </c>
      <c r="L96" s="20"/>
      <c r="M96" s="20"/>
      <c r="N96" s="27" t="s">
        <v>11</v>
      </c>
      <c r="O96" s="21">
        <f t="shared" si="21"/>
        <v>0</v>
      </c>
      <c r="P96" s="22">
        <f>Q95+1+2*INT((WEEKDAY(Q95,1)-1+1)/5)</f>
        <v>46301</v>
      </c>
      <c r="Q96" s="22">
        <f>P96+(Settings!$B$12)-1+2*INT((WEEKDAY(P96,1)-1+(Settings!$B$12)-1)/5)</f>
        <v>46301</v>
      </c>
      <c r="R96" s="28"/>
      <c r="S96" s="28"/>
      <c r="T96" s="20">
        <f t="shared" ca="1" si="18"/>
        <v>0</v>
      </c>
      <c r="U96" s="20" t="str">
        <f t="shared" ca="1" si="19"/>
        <v>Green</v>
      </c>
      <c r="V96" s="38" t="s">
        <v>130</v>
      </c>
      <c r="W96" s="39"/>
      <c r="X96" s="39"/>
      <c r="Y96" s="40">
        <v>46233.453472222223</v>
      </c>
      <c r="Z96" s="38" t="s">
        <v>132</v>
      </c>
    </row>
    <row r="97" spans="1:26" ht="21" customHeight="1">
      <c r="A97" s="17" t="s">
        <v>148</v>
      </c>
      <c r="B97" s="17" t="s">
        <v>52</v>
      </c>
      <c r="C97" s="17"/>
      <c r="D97" s="17" t="s">
        <v>10</v>
      </c>
      <c r="E97" s="35"/>
      <c r="F97" s="35"/>
      <c r="G97" s="17" t="str">
        <f>'Process Summary'!B16</f>
        <v>MEDIUM</v>
      </c>
      <c r="H97" s="35" t="s">
        <v>131</v>
      </c>
      <c r="I97" s="17" t="str">
        <f>'Process Summary'!C16</f>
        <v>Developer 2</v>
      </c>
      <c r="J97" s="17"/>
      <c r="K97" s="17"/>
      <c r="L97" s="17"/>
      <c r="M97" s="17"/>
      <c r="N97" s="17" t="str">
        <f>IF(O97=100%,"Completed",IF(N98="On Hold","On Hold",IF(N99="On Hold","On Hold",IF(N100="On Hold","On Hold",IF(N101="On Hold","On Hold",IF(N102="On Hold","On Hold",IF(N103="On Hold","On Hold",IF(O97&gt;0%,"In Progress","Not Started"))))))))</f>
        <v>Not Started</v>
      </c>
      <c r="O97" s="18">
        <f>(O98*3+O99*5+O100+O101*IF(G97="LOW",13,IF(G97="MEDIUM",23,33))+O102*2+O103)/(12+IF(G97="LOW",13,IF(G97="MEDIUM",23,33)))</f>
        <v>0</v>
      </c>
      <c r="P97" s="19">
        <f>'Process Summary'!G16</f>
        <v>46302</v>
      </c>
      <c r="Q97" s="19">
        <f>Q103</f>
        <v>46337</v>
      </c>
      <c r="R97" s="19" t="str">
        <f>IF(COUNT(R98:R103)=0,"",MIN(R98:R103))</f>
        <v/>
      </c>
      <c r="S97" s="19" t="str">
        <f>IF(COUNT(S98:S103)=0,"",MAX(S98:S103))</f>
        <v/>
      </c>
      <c r="T97" s="17">
        <f t="shared" ca="1" si="18"/>
        <v>0</v>
      </c>
      <c r="U97" s="17" t="str">
        <f t="shared" ca="1" si="19"/>
        <v>Green</v>
      </c>
      <c r="V97" s="35" t="s">
        <v>130</v>
      </c>
      <c r="W97" s="36"/>
      <c r="X97" s="36"/>
      <c r="Y97" s="37">
        <v>46233.453472222223</v>
      </c>
      <c r="Z97" s="35" t="s">
        <v>132</v>
      </c>
    </row>
    <row r="98" spans="1:26" ht="21" customHeight="1">
      <c r="A98" s="38"/>
      <c r="B98" s="20"/>
      <c r="C98" s="20"/>
      <c r="D98" s="20" t="s">
        <v>107</v>
      </c>
      <c r="E98" s="38"/>
      <c r="F98" s="38"/>
      <c r="G98" s="20" t="str">
        <f>G97</f>
        <v>MEDIUM</v>
      </c>
      <c r="H98" s="38" t="s">
        <v>131</v>
      </c>
      <c r="I98" s="20" t="str">
        <f>I97</f>
        <v>Developer 2</v>
      </c>
      <c r="J98" s="20"/>
      <c r="K98" s="20" t="s">
        <v>133</v>
      </c>
      <c r="L98" s="20"/>
      <c r="M98" s="20"/>
      <c r="N98" s="27" t="s">
        <v>11</v>
      </c>
      <c r="O98" s="21">
        <f t="shared" ref="O98:O103" si="22">IF(N98="Completed",100%,IF(OR(N98="In Progress",N98="On Hold"),50%,0%))</f>
        <v>0</v>
      </c>
      <c r="P98" s="22">
        <f>P97</f>
        <v>46302</v>
      </c>
      <c r="Q98" s="22">
        <f>P98+(Settings!$B$5)-1+2*INT((WEEKDAY(P98,1)-1+(Settings!$B$5)-1)/5)</f>
        <v>46306</v>
      </c>
      <c r="R98" s="28"/>
      <c r="S98" s="28"/>
      <c r="T98" s="20">
        <f t="shared" ca="1" si="18"/>
        <v>0</v>
      </c>
      <c r="U98" s="20" t="str">
        <f t="shared" ca="1" si="19"/>
        <v>Green</v>
      </c>
      <c r="V98" s="38" t="s">
        <v>130</v>
      </c>
      <c r="W98" s="39"/>
      <c r="X98" s="39"/>
      <c r="Y98" s="40">
        <v>46233.453472222223</v>
      </c>
      <c r="Z98" s="38" t="s">
        <v>132</v>
      </c>
    </row>
    <row r="99" spans="1:26" ht="21" customHeight="1">
      <c r="A99" s="38"/>
      <c r="B99" s="20"/>
      <c r="C99" s="20"/>
      <c r="D99" s="20" t="s">
        <v>108</v>
      </c>
      <c r="E99" s="38"/>
      <c r="F99" s="38"/>
      <c r="G99" s="20" t="str">
        <f>G97</f>
        <v>MEDIUM</v>
      </c>
      <c r="H99" s="38" t="s">
        <v>131</v>
      </c>
      <c r="I99" s="20" t="str">
        <f>I97</f>
        <v>Developer 2</v>
      </c>
      <c r="J99" s="20"/>
      <c r="K99" s="20" t="s">
        <v>133</v>
      </c>
      <c r="L99" s="20"/>
      <c r="M99" s="20"/>
      <c r="N99" s="27" t="s">
        <v>11</v>
      </c>
      <c r="O99" s="21">
        <f t="shared" si="22"/>
        <v>0</v>
      </c>
      <c r="P99" s="22">
        <f>Q98+1+2*INT((WEEKDAY(Q98,1)-1+1)/5)</f>
        <v>46307</v>
      </c>
      <c r="Q99" s="22">
        <f>P99+(Settings!$B$6)-1+2*INT((WEEKDAY(P99,1)-1+(Settings!$B$6)-1)/5)</f>
        <v>46313</v>
      </c>
      <c r="R99" s="28"/>
      <c r="S99" s="28"/>
      <c r="T99" s="20">
        <f t="shared" ca="1" si="18"/>
        <v>0</v>
      </c>
      <c r="U99" s="20" t="str">
        <f t="shared" ca="1" si="19"/>
        <v>Green</v>
      </c>
      <c r="V99" s="38" t="s">
        <v>130</v>
      </c>
      <c r="W99" s="39"/>
      <c r="X99" s="39"/>
      <c r="Y99" s="40">
        <v>46233.453472222223</v>
      </c>
      <c r="Z99" s="38" t="s">
        <v>132</v>
      </c>
    </row>
    <row r="100" spans="1:26" ht="21" customHeight="1">
      <c r="A100" s="38"/>
      <c r="B100" s="20"/>
      <c r="C100" s="20"/>
      <c r="D100" s="20" t="s">
        <v>109</v>
      </c>
      <c r="E100" s="38"/>
      <c r="F100" s="38"/>
      <c r="G100" s="20" t="str">
        <f>G97</f>
        <v>MEDIUM</v>
      </c>
      <c r="H100" s="38" t="s">
        <v>131</v>
      </c>
      <c r="I100" s="20" t="str">
        <f>I97</f>
        <v>Developer 2</v>
      </c>
      <c r="J100" s="20"/>
      <c r="K100" s="20" t="s">
        <v>134</v>
      </c>
      <c r="L100" s="20"/>
      <c r="M100" s="23"/>
      <c r="N100" s="27" t="s">
        <v>11</v>
      </c>
      <c r="O100" s="21">
        <f t="shared" si="22"/>
        <v>0</v>
      </c>
      <c r="P100" s="22">
        <f>Q99+1+2*INT((WEEKDAY(Q99,1)-1+1)/5)</f>
        <v>46314</v>
      </c>
      <c r="Q100" s="22">
        <f>P100+(Settings!$B$7)-1+2*INT((WEEKDAY(P100,1)-1+(Settings!$B$7)-1)/5)</f>
        <v>46314</v>
      </c>
      <c r="R100" s="28"/>
      <c r="S100" s="28"/>
      <c r="T100" s="20">
        <f t="shared" ca="1" si="18"/>
        <v>0</v>
      </c>
      <c r="U100" s="20" t="str">
        <f t="shared" ca="1" si="19"/>
        <v>Green</v>
      </c>
      <c r="V100" s="38" t="s">
        <v>130</v>
      </c>
      <c r="W100" s="39"/>
      <c r="X100" s="39"/>
      <c r="Y100" s="40">
        <v>46233.453472222223</v>
      </c>
      <c r="Z100" s="38" t="s">
        <v>132</v>
      </c>
    </row>
    <row r="101" spans="1:26" ht="21" customHeight="1">
      <c r="A101" s="38"/>
      <c r="B101" s="20"/>
      <c r="C101" s="20"/>
      <c r="D101" s="20" t="s">
        <v>110</v>
      </c>
      <c r="E101" s="38"/>
      <c r="F101" s="38"/>
      <c r="G101" s="20" t="str">
        <f>G97</f>
        <v>MEDIUM</v>
      </c>
      <c r="H101" s="38" t="s">
        <v>131</v>
      </c>
      <c r="I101" s="20" t="str">
        <f>I97</f>
        <v>Developer 2</v>
      </c>
      <c r="J101" s="20"/>
      <c r="K101" s="20" t="s">
        <v>135</v>
      </c>
      <c r="L101" s="20"/>
      <c r="M101" s="20"/>
      <c r="N101" s="27" t="s">
        <v>11</v>
      </c>
      <c r="O101" s="21">
        <f t="shared" si="22"/>
        <v>0</v>
      </c>
      <c r="P101" s="22">
        <f>Q100+1+2*INT((WEEKDAY(Q100,1)-1+1)/5)</f>
        <v>46315</v>
      </c>
      <c r="Q101" s="22">
        <f>P101+(IF(G101="LOW",Settings!$B$8,IF(G101="MEDIUM",Settings!$B$9,Settings!$B$10)))-1+2*INT((WEEKDAY(P101,1)-1+(IF(G101="LOW",Settings!$B$8,IF(G101="MEDIUM",Settings!$B$9,Settings!$B$10)))-1)/5)</f>
        <v>46335</v>
      </c>
      <c r="R101" s="28"/>
      <c r="S101" s="28"/>
      <c r="T101" s="20">
        <f t="shared" ca="1" si="18"/>
        <v>0</v>
      </c>
      <c r="U101" s="20" t="str">
        <f t="shared" ca="1" si="19"/>
        <v>Green</v>
      </c>
      <c r="V101" s="38" t="s">
        <v>130</v>
      </c>
      <c r="W101" s="39"/>
      <c r="X101" s="39"/>
      <c r="Y101" s="40">
        <v>46233.453472222223</v>
      </c>
      <c r="Z101" s="38" t="s">
        <v>132</v>
      </c>
    </row>
    <row r="102" spans="1:26" ht="21" customHeight="1">
      <c r="A102" s="38"/>
      <c r="B102" s="20"/>
      <c r="C102" s="20"/>
      <c r="D102" s="20" t="s">
        <v>111</v>
      </c>
      <c r="E102" s="38"/>
      <c r="F102" s="38"/>
      <c r="G102" s="20" t="str">
        <f>G97</f>
        <v>MEDIUM</v>
      </c>
      <c r="H102" s="38" t="s">
        <v>131</v>
      </c>
      <c r="I102" s="20" t="str">
        <f>I97</f>
        <v>Developer 2</v>
      </c>
      <c r="J102" s="20"/>
      <c r="K102" s="20" t="s">
        <v>136</v>
      </c>
      <c r="L102" s="20"/>
      <c r="M102" s="20"/>
      <c r="N102" s="27" t="s">
        <v>11</v>
      </c>
      <c r="O102" s="21">
        <f t="shared" si="22"/>
        <v>0</v>
      </c>
      <c r="P102" s="22">
        <f>Q101+1+2*INT((WEEKDAY(Q101,1)-1+1)/5)</f>
        <v>46336</v>
      </c>
      <c r="Q102" s="22">
        <f>P102+(Settings!$B$11)-1+2*INT((WEEKDAY(P102,1)-1+(Settings!$B$11)-1)/5)</f>
        <v>46336</v>
      </c>
      <c r="R102" s="28"/>
      <c r="S102" s="28"/>
      <c r="T102" s="20">
        <f t="shared" ca="1" si="18"/>
        <v>0</v>
      </c>
      <c r="U102" s="20" t="str">
        <f t="shared" ca="1" si="19"/>
        <v>Green</v>
      </c>
      <c r="V102" s="38" t="s">
        <v>130</v>
      </c>
      <c r="W102" s="39"/>
      <c r="X102" s="39"/>
      <c r="Y102" s="40">
        <v>46233.453472222223</v>
      </c>
      <c r="Z102" s="38" t="s">
        <v>132</v>
      </c>
    </row>
    <row r="103" spans="1:26" ht="21" customHeight="1">
      <c r="A103" s="38"/>
      <c r="B103" s="20"/>
      <c r="C103" s="20"/>
      <c r="D103" s="20" t="s">
        <v>112</v>
      </c>
      <c r="E103" s="38"/>
      <c r="F103" s="38"/>
      <c r="G103" s="20" t="str">
        <f>G97</f>
        <v>MEDIUM</v>
      </c>
      <c r="H103" s="38" t="s">
        <v>131</v>
      </c>
      <c r="I103" s="20" t="str">
        <f>I97</f>
        <v>Developer 2</v>
      </c>
      <c r="J103" s="20"/>
      <c r="K103" s="20" t="s">
        <v>135</v>
      </c>
      <c r="L103" s="20"/>
      <c r="M103" s="20"/>
      <c r="N103" s="27" t="s">
        <v>11</v>
      </c>
      <c r="O103" s="21">
        <f t="shared" si="22"/>
        <v>0</v>
      </c>
      <c r="P103" s="22">
        <f>Q102+1+2*INT((WEEKDAY(Q102,1)-1+1)/5)</f>
        <v>46337</v>
      </c>
      <c r="Q103" s="22">
        <f>P103+(Settings!$B$12)-1+2*INT((WEEKDAY(P103,1)-1+(Settings!$B$12)-1)/5)</f>
        <v>46337</v>
      </c>
      <c r="R103" s="28"/>
      <c r="S103" s="28"/>
      <c r="T103" s="20">
        <f t="shared" ca="1" si="18"/>
        <v>0</v>
      </c>
      <c r="U103" s="20" t="str">
        <f t="shared" ca="1" si="19"/>
        <v>Green</v>
      </c>
      <c r="V103" s="38" t="s">
        <v>130</v>
      </c>
      <c r="W103" s="39"/>
      <c r="X103" s="39"/>
      <c r="Y103" s="40">
        <v>46233.453472222223</v>
      </c>
      <c r="Z103" s="38" t="s">
        <v>132</v>
      </c>
    </row>
    <row r="104" spans="1:26" ht="21" customHeight="1">
      <c r="A104" s="17" t="s">
        <v>149</v>
      </c>
      <c r="B104" s="17" t="s">
        <v>52</v>
      </c>
      <c r="C104" s="17"/>
      <c r="D104" s="17" t="s">
        <v>10</v>
      </c>
      <c r="E104" s="35"/>
      <c r="F104" s="35"/>
      <c r="G104" s="17" t="str">
        <f>'Process Summary'!B17</f>
        <v>MEDIUM</v>
      </c>
      <c r="H104" s="35" t="s">
        <v>131</v>
      </c>
      <c r="I104" s="17" t="str">
        <f>'Process Summary'!C17</f>
        <v>Developer 3</v>
      </c>
      <c r="J104" s="17"/>
      <c r="K104" s="17"/>
      <c r="L104" s="17"/>
      <c r="M104" s="17"/>
      <c r="N104" s="17" t="str">
        <f>IF(O104=100%,"Completed",IF(N105="On Hold","On Hold",IF(N106="On Hold","On Hold",IF(N107="On Hold","On Hold",IF(N108="On Hold","On Hold",IF(N109="On Hold","On Hold",IF(N110="On Hold","On Hold",IF(O104&gt;0%,"In Progress","Not Started"))))))))</f>
        <v>Not Started</v>
      </c>
      <c r="O104" s="18">
        <f>(O105*3+O106*5+O107+O108*IF(G104="LOW",13,IF(G104="MEDIUM",23,33))+O109*2+O110)/(12+IF(G104="LOW",13,IF(G104="MEDIUM",23,33)))</f>
        <v>0</v>
      </c>
      <c r="P104" s="19">
        <f>'Process Summary'!G17</f>
        <v>46302</v>
      </c>
      <c r="Q104" s="19">
        <f>Q110</f>
        <v>46337</v>
      </c>
      <c r="R104" s="19" t="str">
        <f>IF(COUNT(R105:R110)=0,"",MIN(R105:R110))</f>
        <v/>
      </c>
      <c r="S104" s="19" t="str">
        <f>IF(COUNT(S105:S110)=0,"",MAX(S105:S110))</f>
        <v/>
      </c>
      <c r="T104" s="17">
        <f t="shared" ca="1" si="18"/>
        <v>0</v>
      </c>
      <c r="U104" s="17" t="str">
        <f t="shared" ca="1" si="19"/>
        <v>Green</v>
      </c>
      <c r="V104" s="35" t="s">
        <v>130</v>
      </c>
      <c r="W104" s="36"/>
      <c r="X104" s="36"/>
      <c r="Y104" s="37">
        <v>46233.453472222223</v>
      </c>
      <c r="Z104" s="35" t="s">
        <v>132</v>
      </c>
    </row>
    <row r="105" spans="1:26" ht="21" customHeight="1">
      <c r="A105" s="38"/>
      <c r="B105" s="20"/>
      <c r="C105" s="20"/>
      <c r="D105" s="20" t="s">
        <v>107</v>
      </c>
      <c r="E105" s="38"/>
      <c r="F105" s="38"/>
      <c r="G105" s="20" t="str">
        <f>G104</f>
        <v>MEDIUM</v>
      </c>
      <c r="H105" s="38" t="s">
        <v>131</v>
      </c>
      <c r="I105" s="20" t="str">
        <f>I104</f>
        <v>Developer 3</v>
      </c>
      <c r="J105" s="20"/>
      <c r="K105" s="20" t="s">
        <v>133</v>
      </c>
      <c r="L105" s="20"/>
      <c r="M105" s="20"/>
      <c r="N105" s="27" t="s">
        <v>11</v>
      </c>
      <c r="O105" s="21">
        <f t="shared" ref="O105:O110" si="23">IF(N105="Completed",100%,IF(OR(N105="In Progress",N105="On Hold"),50%,0%))</f>
        <v>0</v>
      </c>
      <c r="P105" s="22">
        <f>P104</f>
        <v>46302</v>
      </c>
      <c r="Q105" s="22">
        <f>P105+(Settings!$B$5)-1+2*INT((WEEKDAY(P105,1)-1+(Settings!$B$5)-1)/5)</f>
        <v>46306</v>
      </c>
      <c r="R105" s="28"/>
      <c r="S105" s="28"/>
      <c r="T105" s="20">
        <f t="shared" ca="1" si="18"/>
        <v>0</v>
      </c>
      <c r="U105" s="20" t="str">
        <f t="shared" ca="1" si="19"/>
        <v>Green</v>
      </c>
      <c r="V105" s="38" t="s">
        <v>130</v>
      </c>
      <c r="W105" s="39"/>
      <c r="X105" s="39"/>
      <c r="Y105" s="40">
        <v>46233.453472222223</v>
      </c>
      <c r="Z105" s="38" t="s">
        <v>132</v>
      </c>
    </row>
    <row r="106" spans="1:26" ht="21" customHeight="1">
      <c r="A106" s="38"/>
      <c r="B106" s="20"/>
      <c r="C106" s="20"/>
      <c r="D106" s="20" t="s">
        <v>108</v>
      </c>
      <c r="E106" s="38"/>
      <c r="F106" s="38"/>
      <c r="G106" s="20" t="str">
        <f>G104</f>
        <v>MEDIUM</v>
      </c>
      <c r="H106" s="38" t="s">
        <v>131</v>
      </c>
      <c r="I106" s="20" t="str">
        <f>I104</f>
        <v>Developer 3</v>
      </c>
      <c r="J106" s="20"/>
      <c r="K106" s="20" t="s">
        <v>133</v>
      </c>
      <c r="L106" s="20"/>
      <c r="M106" s="20"/>
      <c r="N106" s="27" t="s">
        <v>11</v>
      </c>
      <c r="O106" s="21">
        <f t="shared" si="23"/>
        <v>0</v>
      </c>
      <c r="P106" s="22">
        <f>Q105+1+2*INT((WEEKDAY(Q105,1)-1+1)/5)</f>
        <v>46307</v>
      </c>
      <c r="Q106" s="22">
        <f>P106+(Settings!$B$6)-1+2*INT((WEEKDAY(P106,1)-1+(Settings!$B$6)-1)/5)</f>
        <v>46313</v>
      </c>
      <c r="R106" s="28"/>
      <c r="S106" s="28"/>
      <c r="T106" s="20">
        <f t="shared" ca="1" si="18"/>
        <v>0</v>
      </c>
      <c r="U106" s="20" t="str">
        <f t="shared" ca="1" si="19"/>
        <v>Green</v>
      </c>
      <c r="V106" s="38" t="s">
        <v>130</v>
      </c>
      <c r="W106" s="39"/>
      <c r="X106" s="39"/>
      <c r="Y106" s="40">
        <v>46233.453472222223</v>
      </c>
      <c r="Z106" s="38" t="s">
        <v>132</v>
      </c>
    </row>
    <row r="107" spans="1:26" ht="21" customHeight="1">
      <c r="A107" s="38"/>
      <c r="B107" s="20"/>
      <c r="C107" s="20"/>
      <c r="D107" s="20" t="s">
        <v>109</v>
      </c>
      <c r="E107" s="38"/>
      <c r="F107" s="38"/>
      <c r="G107" s="20" t="str">
        <f>G104</f>
        <v>MEDIUM</v>
      </c>
      <c r="H107" s="38" t="s">
        <v>131</v>
      </c>
      <c r="I107" s="20" t="str">
        <f>I104</f>
        <v>Developer 3</v>
      </c>
      <c r="J107" s="20"/>
      <c r="K107" s="20" t="s">
        <v>134</v>
      </c>
      <c r="L107" s="20"/>
      <c r="M107" s="23"/>
      <c r="N107" s="27" t="s">
        <v>11</v>
      </c>
      <c r="O107" s="21">
        <f t="shared" si="23"/>
        <v>0</v>
      </c>
      <c r="P107" s="22">
        <f>Q106+1+2*INT((WEEKDAY(Q106,1)-1+1)/5)</f>
        <v>46314</v>
      </c>
      <c r="Q107" s="22">
        <f>P107+(Settings!$B$7)-1+2*INT((WEEKDAY(P107,1)-1+(Settings!$B$7)-1)/5)</f>
        <v>46314</v>
      </c>
      <c r="R107" s="28"/>
      <c r="S107" s="28"/>
      <c r="T107" s="20">
        <f t="shared" ca="1" si="18"/>
        <v>0</v>
      </c>
      <c r="U107" s="20" t="str">
        <f t="shared" ca="1" si="19"/>
        <v>Green</v>
      </c>
      <c r="V107" s="38" t="s">
        <v>130</v>
      </c>
      <c r="W107" s="39"/>
      <c r="X107" s="39"/>
      <c r="Y107" s="40">
        <v>46233.453472222223</v>
      </c>
      <c r="Z107" s="38" t="s">
        <v>132</v>
      </c>
    </row>
    <row r="108" spans="1:26" ht="21" customHeight="1">
      <c r="A108" s="38"/>
      <c r="B108" s="20"/>
      <c r="C108" s="20"/>
      <c r="D108" s="20" t="s">
        <v>110</v>
      </c>
      <c r="E108" s="38"/>
      <c r="F108" s="38"/>
      <c r="G108" s="20" t="str">
        <f>G104</f>
        <v>MEDIUM</v>
      </c>
      <c r="H108" s="38" t="s">
        <v>131</v>
      </c>
      <c r="I108" s="20" t="str">
        <f>I104</f>
        <v>Developer 3</v>
      </c>
      <c r="J108" s="20"/>
      <c r="K108" s="20" t="s">
        <v>135</v>
      </c>
      <c r="L108" s="20"/>
      <c r="M108" s="20"/>
      <c r="N108" s="27" t="s">
        <v>11</v>
      </c>
      <c r="O108" s="21">
        <f t="shared" si="23"/>
        <v>0</v>
      </c>
      <c r="P108" s="22">
        <f>Q107+1+2*INT((WEEKDAY(Q107,1)-1+1)/5)</f>
        <v>46315</v>
      </c>
      <c r="Q108" s="22">
        <f>P108+(IF(G108="LOW",Settings!$B$8,IF(G108="MEDIUM",Settings!$B$9,Settings!$B$10)))-1+2*INT((WEEKDAY(P108,1)-1+(IF(G108="LOW",Settings!$B$8,IF(G108="MEDIUM",Settings!$B$9,Settings!$B$10)))-1)/5)</f>
        <v>46335</v>
      </c>
      <c r="R108" s="28"/>
      <c r="S108" s="28"/>
      <c r="T108" s="20">
        <f t="shared" ca="1" si="18"/>
        <v>0</v>
      </c>
      <c r="U108" s="20" t="str">
        <f t="shared" ca="1" si="19"/>
        <v>Green</v>
      </c>
      <c r="V108" s="38" t="s">
        <v>130</v>
      </c>
      <c r="W108" s="39"/>
      <c r="X108" s="39"/>
      <c r="Y108" s="40">
        <v>46233.453472222223</v>
      </c>
      <c r="Z108" s="38" t="s">
        <v>132</v>
      </c>
    </row>
    <row r="109" spans="1:26" ht="21" customHeight="1">
      <c r="A109" s="38"/>
      <c r="B109" s="20"/>
      <c r="C109" s="20"/>
      <c r="D109" s="20" t="s">
        <v>111</v>
      </c>
      <c r="E109" s="38"/>
      <c r="F109" s="38"/>
      <c r="G109" s="20" t="str">
        <f>G104</f>
        <v>MEDIUM</v>
      </c>
      <c r="H109" s="38" t="s">
        <v>131</v>
      </c>
      <c r="I109" s="20" t="str">
        <f>I104</f>
        <v>Developer 3</v>
      </c>
      <c r="J109" s="20"/>
      <c r="K109" s="20" t="s">
        <v>136</v>
      </c>
      <c r="L109" s="20"/>
      <c r="M109" s="20"/>
      <c r="N109" s="27" t="s">
        <v>11</v>
      </c>
      <c r="O109" s="21">
        <f t="shared" si="23"/>
        <v>0</v>
      </c>
      <c r="P109" s="22">
        <f>Q108+1+2*INT((WEEKDAY(Q108,1)-1+1)/5)</f>
        <v>46336</v>
      </c>
      <c r="Q109" s="22">
        <f>P109+(Settings!$B$11)-1+2*INT((WEEKDAY(P109,1)-1+(Settings!$B$11)-1)/5)</f>
        <v>46336</v>
      </c>
      <c r="R109" s="28"/>
      <c r="S109" s="28"/>
      <c r="T109" s="20">
        <f t="shared" ca="1" si="18"/>
        <v>0</v>
      </c>
      <c r="U109" s="20" t="str">
        <f t="shared" ca="1" si="19"/>
        <v>Green</v>
      </c>
      <c r="V109" s="38" t="s">
        <v>130</v>
      </c>
      <c r="W109" s="39"/>
      <c r="X109" s="39"/>
      <c r="Y109" s="40">
        <v>46233.453472222223</v>
      </c>
      <c r="Z109" s="38" t="s">
        <v>132</v>
      </c>
    </row>
    <row r="110" spans="1:26" ht="21" customHeight="1">
      <c r="A110" s="38"/>
      <c r="B110" s="20"/>
      <c r="C110" s="20"/>
      <c r="D110" s="20" t="s">
        <v>112</v>
      </c>
      <c r="E110" s="38"/>
      <c r="F110" s="38"/>
      <c r="G110" s="20" t="str">
        <f>G104</f>
        <v>MEDIUM</v>
      </c>
      <c r="H110" s="38" t="s">
        <v>131</v>
      </c>
      <c r="I110" s="20" t="str">
        <f>I104</f>
        <v>Developer 3</v>
      </c>
      <c r="J110" s="20"/>
      <c r="K110" s="20" t="s">
        <v>135</v>
      </c>
      <c r="L110" s="20"/>
      <c r="M110" s="20"/>
      <c r="N110" s="27" t="s">
        <v>11</v>
      </c>
      <c r="O110" s="21">
        <f t="shared" si="23"/>
        <v>0</v>
      </c>
      <c r="P110" s="22">
        <f>Q109+1+2*INT((WEEKDAY(Q109,1)-1+1)/5)</f>
        <v>46337</v>
      </c>
      <c r="Q110" s="22">
        <f>P110+(Settings!$B$12)-1+2*INT((WEEKDAY(P110,1)-1+(Settings!$B$12)-1)/5)</f>
        <v>46337</v>
      </c>
      <c r="R110" s="28"/>
      <c r="S110" s="28"/>
      <c r="T110" s="20">
        <f t="shared" ca="1" si="18"/>
        <v>0</v>
      </c>
      <c r="U110" s="20" t="str">
        <f t="shared" ca="1" si="19"/>
        <v>Green</v>
      </c>
      <c r="V110" s="38" t="s">
        <v>130</v>
      </c>
      <c r="W110" s="39"/>
      <c r="X110" s="39"/>
      <c r="Y110" s="40">
        <v>46233.453472222223</v>
      </c>
      <c r="Z110" s="38" t="s">
        <v>132</v>
      </c>
    </row>
    <row r="111" spans="1:26" ht="21" customHeight="1">
      <c r="A111" s="17" t="s">
        <v>150</v>
      </c>
      <c r="B111" s="17" t="s">
        <v>52</v>
      </c>
      <c r="C111" s="17"/>
      <c r="D111" s="17" t="s">
        <v>10</v>
      </c>
      <c r="E111" s="35"/>
      <c r="F111" s="35"/>
      <c r="G111" s="17" t="str">
        <f>'Process Summary'!B18</f>
        <v>MEDIUM</v>
      </c>
      <c r="H111" s="35" t="s">
        <v>131</v>
      </c>
      <c r="I111" s="17" t="str">
        <f>'Process Summary'!C18</f>
        <v>Developer 4</v>
      </c>
      <c r="J111" s="17"/>
      <c r="K111" s="17"/>
      <c r="L111" s="17"/>
      <c r="M111" s="17"/>
      <c r="N111" s="17" t="str">
        <f>IF(O111=100%,"Completed",IF(N112="On Hold","On Hold",IF(N113="On Hold","On Hold",IF(N114="On Hold","On Hold",IF(N115="On Hold","On Hold",IF(N116="On Hold","On Hold",IF(N117="On Hold","On Hold",IF(O111&gt;0%,"In Progress","Not Started"))))))))</f>
        <v>Not Started</v>
      </c>
      <c r="O111" s="18">
        <f>(O112*3+O113*5+O114+O115*IF(G111="LOW",13,IF(G111="MEDIUM",23,33))+O116*2+O117)/(12+IF(G111="LOW",13,IF(G111="MEDIUM",23,33)))</f>
        <v>0</v>
      </c>
      <c r="P111" s="19">
        <f>'Process Summary'!G18</f>
        <v>46302</v>
      </c>
      <c r="Q111" s="19">
        <f>Q117</f>
        <v>46337</v>
      </c>
      <c r="R111" s="19" t="str">
        <f>IF(COUNT(R112:R117)=0,"",MIN(R112:R117))</f>
        <v/>
      </c>
      <c r="S111" s="19" t="str">
        <f>IF(COUNT(S112:S117)=0,"",MAX(S112:S117))</f>
        <v/>
      </c>
      <c r="T111" s="17">
        <f t="shared" ca="1" si="18"/>
        <v>0</v>
      </c>
      <c r="U111" s="17" t="str">
        <f t="shared" ca="1" si="19"/>
        <v>Green</v>
      </c>
      <c r="V111" s="35" t="s">
        <v>130</v>
      </c>
      <c r="W111" s="36"/>
      <c r="X111" s="36"/>
      <c r="Y111" s="37">
        <v>46233.453472222223</v>
      </c>
      <c r="Z111" s="35" t="s">
        <v>132</v>
      </c>
    </row>
    <row r="112" spans="1:26" ht="21" customHeight="1">
      <c r="A112" s="38"/>
      <c r="B112" s="20"/>
      <c r="C112" s="20"/>
      <c r="D112" s="20" t="s">
        <v>107</v>
      </c>
      <c r="E112" s="38"/>
      <c r="F112" s="38"/>
      <c r="G112" s="20" t="str">
        <f>G111</f>
        <v>MEDIUM</v>
      </c>
      <c r="H112" s="38" t="s">
        <v>131</v>
      </c>
      <c r="I112" s="20" t="str">
        <f>I111</f>
        <v>Developer 4</v>
      </c>
      <c r="J112" s="20"/>
      <c r="K112" s="20" t="s">
        <v>133</v>
      </c>
      <c r="L112" s="20"/>
      <c r="M112" s="20"/>
      <c r="N112" s="27" t="s">
        <v>11</v>
      </c>
      <c r="O112" s="21">
        <f t="shared" ref="O112:O117" si="24">IF(N112="Completed",100%,IF(OR(N112="In Progress",N112="On Hold"),50%,0%))</f>
        <v>0</v>
      </c>
      <c r="P112" s="22">
        <f>P111</f>
        <v>46302</v>
      </c>
      <c r="Q112" s="22">
        <f>P112+(Settings!$B$5)-1+2*INT((WEEKDAY(P112,1)-1+(Settings!$B$5)-1)/5)</f>
        <v>46306</v>
      </c>
      <c r="R112" s="28"/>
      <c r="S112" s="28"/>
      <c r="T112" s="20">
        <f t="shared" ca="1" si="18"/>
        <v>0</v>
      </c>
      <c r="U112" s="20" t="str">
        <f t="shared" ca="1" si="19"/>
        <v>Green</v>
      </c>
      <c r="V112" s="38" t="s">
        <v>130</v>
      </c>
      <c r="W112" s="39"/>
      <c r="X112" s="39"/>
      <c r="Y112" s="40">
        <v>46233.453472222223</v>
      </c>
      <c r="Z112" s="38" t="s">
        <v>132</v>
      </c>
    </row>
    <row r="113" spans="1:26" ht="21" customHeight="1">
      <c r="A113" s="38"/>
      <c r="B113" s="20"/>
      <c r="C113" s="20"/>
      <c r="D113" s="20" t="s">
        <v>108</v>
      </c>
      <c r="E113" s="38"/>
      <c r="F113" s="38"/>
      <c r="G113" s="20" t="str">
        <f>G111</f>
        <v>MEDIUM</v>
      </c>
      <c r="H113" s="38" t="s">
        <v>131</v>
      </c>
      <c r="I113" s="20" t="str">
        <f>I111</f>
        <v>Developer 4</v>
      </c>
      <c r="J113" s="20"/>
      <c r="K113" s="20" t="s">
        <v>133</v>
      </c>
      <c r="L113" s="20"/>
      <c r="M113" s="20"/>
      <c r="N113" s="27" t="s">
        <v>11</v>
      </c>
      <c r="O113" s="21">
        <f t="shared" si="24"/>
        <v>0</v>
      </c>
      <c r="P113" s="22">
        <f>Q112+1+2*INT((WEEKDAY(Q112,1)-1+1)/5)</f>
        <v>46307</v>
      </c>
      <c r="Q113" s="22">
        <f>P113+(Settings!$B$6)-1+2*INT((WEEKDAY(P113,1)-1+(Settings!$B$6)-1)/5)</f>
        <v>46313</v>
      </c>
      <c r="R113" s="28"/>
      <c r="S113" s="28"/>
      <c r="T113" s="20">
        <f t="shared" ca="1" si="18"/>
        <v>0</v>
      </c>
      <c r="U113" s="20" t="str">
        <f t="shared" ca="1" si="19"/>
        <v>Green</v>
      </c>
      <c r="V113" s="38" t="s">
        <v>130</v>
      </c>
      <c r="W113" s="39"/>
      <c r="X113" s="39"/>
      <c r="Y113" s="40">
        <v>46233.453472222223</v>
      </c>
      <c r="Z113" s="38" t="s">
        <v>132</v>
      </c>
    </row>
    <row r="114" spans="1:26" ht="21" customHeight="1">
      <c r="A114" s="38"/>
      <c r="B114" s="20"/>
      <c r="C114" s="20"/>
      <c r="D114" s="20" t="s">
        <v>109</v>
      </c>
      <c r="E114" s="38"/>
      <c r="F114" s="38"/>
      <c r="G114" s="20" t="str">
        <f>G111</f>
        <v>MEDIUM</v>
      </c>
      <c r="H114" s="38" t="s">
        <v>131</v>
      </c>
      <c r="I114" s="20" t="str">
        <f>I111</f>
        <v>Developer 4</v>
      </c>
      <c r="J114" s="20"/>
      <c r="K114" s="20" t="s">
        <v>134</v>
      </c>
      <c r="L114" s="20"/>
      <c r="M114" s="23"/>
      <c r="N114" s="27" t="s">
        <v>11</v>
      </c>
      <c r="O114" s="21">
        <f t="shared" si="24"/>
        <v>0</v>
      </c>
      <c r="P114" s="22">
        <f>Q113+1+2*INT((WEEKDAY(Q113,1)-1+1)/5)</f>
        <v>46314</v>
      </c>
      <c r="Q114" s="22">
        <f>P114+(Settings!$B$7)-1+2*INT((WEEKDAY(P114,1)-1+(Settings!$B$7)-1)/5)</f>
        <v>46314</v>
      </c>
      <c r="R114" s="28"/>
      <c r="S114" s="28"/>
      <c r="T114" s="20">
        <f t="shared" ca="1" si="18"/>
        <v>0</v>
      </c>
      <c r="U114" s="20" t="str">
        <f t="shared" ca="1" si="19"/>
        <v>Green</v>
      </c>
      <c r="V114" s="38" t="s">
        <v>130</v>
      </c>
      <c r="W114" s="39"/>
      <c r="X114" s="39"/>
      <c r="Y114" s="40">
        <v>46233.453472222223</v>
      </c>
      <c r="Z114" s="38" t="s">
        <v>132</v>
      </c>
    </row>
    <row r="115" spans="1:26" ht="21" customHeight="1">
      <c r="A115" s="38"/>
      <c r="B115" s="20"/>
      <c r="C115" s="20"/>
      <c r="D115" s="20" t="s">
        <v>110</v>
      </c>
      <c r="E115" s="38"/>
      <c r="F115" s="38"/>
      <c r="G115" s="20" t="str">
        <f>G111</f>
        <v>MEDIUM</v>
      </c>
      <c r="H115" s="38" t="s">
        <v>131</v>
      </c>
      <c r="I115" s="20" t="str">
        <f>I111</f>
        <v>Developer 4</v>
      </c>
      <c r="J115" s="20"/>
      <c r="K115" s="20" t="s">
        <v>135</v>
      </c>
      <c r="L115" s="20"/>
      <c r="M115" s="20"/>
      <c r="N115" s="27" t="s">
        <v>11</v>
      </c>
      <c r="O115" s="21">
        <f t="shared" si="24"/>
        <v>0</v>
      </c>
      <c r="P115" s="22">
        <f>Q114+1+2*INT((WEEKDAY(Q114,1)-1+1)/5)</f>
        <v>46315</v>
      </c>
      <c r="Q115" s="22">
        <f>P115+(IF(G115="LOW",Settings!$B$8,IF(G115="MEDIUM",Settings!$B$9,Settings!$B$10)))-1+2*INT((WEEKDAY(P115,1)-1+(IF(G115="LOW",Settings!$B$8,IF(G115="MEDIUM",Settings!$B$9,Settings!$B$10)))-1)/5)</f>
        <v>46335</v>
      </c>
      <c r="R115" s="28"/>
      <c r="S115" s="28"/>
      <c r="T115" s="20">
        <f t="shared" ca="1" si="18"/>
        <v>0</v>
      </c>
      <c r="U115" s="20" t="str">
        <f t="shared" ca="1" si="19"/>
        <v>Green</v>
      </c>
      <c r="V115" s="38" t="s">
        <v>130</v>
      </c>
      <c r="W115" s="39"/>
      <c r="X115" s="39"/>
      <c r="Y115" s="40">
        <v>46233.453472222223</v>
      </c>
      <c r="Z115" s="38" t="s">
        <v>132</v>
      </c>
    </row>
    <row r="116" spans="1:26" ht="21" customHeight="1">
      <c r="A116" s="38"/>
      <c r="B116" s="20"/>
      <c r="C116" s="20"/>
      <c r="D116" s="20" t="s">
        <v>111</v>
      </c>
      <c r="E116" s="38"/>
      <c r="F116" s="38"/>
      <c r="G116" s="20" t="str">
        <f>G111</f>
        <v>MEDIUM</v>
      </c>
      <c r="H116" s="38" t="s">
        <v>131</v>
      </c>
      <c r="I116" s="20" t="str">
        <f>I111</f>
        <v>Developer 4</v>
      </c>
      <c r="J116" s="20"/>
      <c r="K116" s="20" t="s">
        <v>136</v>
      </c>
      <c r="L116" s="20"/>
      <c r="M116" s="20"/>
      <c r="N116" s="27" t="s">
        <v>11</v>
      </c>
      <c r="O116" s="21">
        <f t="shared" si="24"/>
        <v>0</v>
      </c>
      <c r="P116" s="22">
        <f>Q115+1+2*INT((WEEKDAY(Q115,1)-1+1)/5)</f>
        <v>46336</v>
      </c>
      <c r="Q116" s="22">
        <f>P116+(Settings!$B$11)-1+2*INT((WEEKDAY(P116,1)-1+(Settings!$B$11)-1)/5)</f>
        <v>46336</v>
      </c>
      <c r="R116" s="28"/>
      <c r="S116" s="28"/>
      <c r="T116" s="20">
        <f t="shared" ca="1" si="18"/>
        <v>0</v>
      </c>
      <c r="U116" s="20" t="str">
        <f t="shared" ca="1" si="19"/>
        <v>Green</v>
      </c>
      <c r="V116" s="38" t="s">
        <v>130</v>
      </c>
      <c r="W116" s="39"/>
      <c r="X116" s="39"/>
      <c r="Y116" s="40">
        <v>46233.453472222223</v>
      </c>
      <c r="Z116" s="38" t="s">
        <v>132</v>
      </c>
    </row>
    <row r="117" spans="1:26" ht="21" customHeight="1">
      <c r="A117" s="38"/>
      <c r="B117" s="20"/>
      <c r="C117" s="20"/>
      <c r="D117" s="20" t="s">
        <v>112</v>
      </c>
      <c r="E117" s="38"/>
      <c r="F117" s="38"/>
      <c r="G117" s="20" t="str">
        <f>G111</f>
        <v>MEDIUM</v>
      </c>
      <c r="H117" s="38" t="s">
        <v>131</v>
      </c>
      <c r="I117" s="20" t="str">
        <f>I111</f>
        <v>Developer 4</v>
      </c>
      <c r="J117" s="20"/>
      <c r="K117" s="20" t="s">
        <v>135</v>
      </c>
      <c r="L117" s="20"/>
      <c r="M117" s="20"/>
      <c r="N117" s="27" t="s">
        <v>11</v>
      </c>
      <c r="O117" s="21">
        <f t="shared" si="24"/>
        <v>0</v>
      </c>
      <c r="P117" s="22">
        <f>Q116+1+2*INT((WEEKDAY(Q116,1)-1+1)/5)</f>
        <v>46337</v>
      </c>
      <c r="Q117" s="22">
        <f>P117+(Settings!$B$12)-1+2*INT((WEEKDAY(P117,1)-1+(Settings!$B$12)-1)/5)</f>
        <v>46337</v>
      </c>
      <c r="R117" s="28"/>
      <c r="S117" s="28"/>
      <c r="T117" s="20">
        <f t="shared" ca="1" si="18"/>
        <v>0</v>
      </c>
      <c r="U117" s="20" t="str">
        <f t="shared" ca="1" si="19"/>
        <v>Green</v>
      </c>
      <c r="V117" s="38" t="s">
        <v>130</v>
      </c>
      <c r="W117" s="39"/>
      <c r="X117" s="39"/>
      <c r="Y117" s="40">
        <v>46233.453472222223</v>
      </c>
      <c r="Z117" s="38" t="s">
        <v>132</v>
      </c>
    </row>
    <row r="118" spans="1:26" ht="21" customHeight="1">
      <c r="A118" s="17" t="s">
        <v>151</v>
      </c>
      <c r="B118" s="17" t="s">
        <v>52</v>
      </c>
      <c r="C118" s="17"/>
      <c r="D118" s="17" t="s">
        <v>10</v>
      </c>
      <c r="E118" s="35"/>
      <c r="F118" s="35"/>
      <c r="G118" s="17" t="str">
        <f>'Process Summary'!B19</f>
        <v>MEDIUM</v>
      </c>
      <c r="H118" s="35" t="s">
        <v>131</v>
      </c>
      <c r="I118" s="17" t="str">
        <f>'Process Summary'!C19</f>
        <v>Developer 1</v>
      </c>
      <c r="J118" s="17"/>
      <c r="K118" s="17"/>
      <c r="L118" s="17"/>
      <c r="M118" s="17"/>
      <c r="N118" s="17" t="str">
        <f>IF(O118=100%,"Completed",IF(N119="On Hold","On Hold",IF(N120="On Hold","On Hold",IF(N121="On Hold","On Hold",IF(N122="On Hold","On Hold",IF(N123="On Hold","On Hold",IF(N124="On Hold","On Hold",IF(O118&gt;0%,"In Progress","Not Started"))))))))</f>
        <v>Not Started</v>
      </c>
      <c r="O118" s="18">
        <f>(O119*3+O120*5+O121+O122*IF(G118="LOW",13,IF(G118="MEDIUM",23,33))+O123*2+O124)/(12+IF(G118="LOW",13,IF(G118="MEDIUM",23,33)))</f>
        <v>0</v>
      </c>
      <c r="P118" s="19">
        <f>'Process Summary'!G19</f>
        <v>46302</v>
      </c>
      <c r="Q118" s="19">
        <f>Q124</f>
        <v>46337</v>
      </c>
      <c r="R118" s="19" t="str">
        <f>IF(COUNT(R119:R124)=0,"",MIN(R119:R124))</f>
        <v/>
      </c>
      <c r="S118" s="19" t="str">
        <f>IF(COUNT(S119:S124)=0,"",MAX(S119:S124))</f>
        <v/>
      </c>
      <c r="T118" s="17">
        <f t="shared" ca="1" si="18"/>
        <v>0</v>
      </c>
      <c r="U118" s="17" t="str">
        <f t="shared" ca="1" si="19"/>
        <v>Green</v>
      </c>
      <c r="V118" s="35" t="s">
        <v>130</v>
      </c>
      <c r="W118" s="36"/>
      <c r="X118" s="36"/>
      <c r="Y118" s="37">
        <v>46233.453472222223</v>
      </c>
      <c r="Z118" s="35" t="s">
        <v>132</v>
      </c>
    </row>
    <row r="119" spans="1:26" ht="21" customHeight="1">
      <c r="A119" s="38"/>
      <c r="B119" s="20"/>
      <c r="C119" s="20"/>
      <c r="D119" s="20" t="s">
        <v>107</v>
      </c>
      <c r="E119" s="38"/>
      <c r="F119" s="38"/>
      <c r="G119" s="20" t="str">
        <f>G118</f>
        <v>MEDIUM</v>
      </c>
      <c r="H119" s="38" t="s">
        <v>131</v>
      </c>
      <c r="I119" s="20" t="str">
        <f>I118</f>
        <v>Developer 1</v>
      </c>
      <c r="J119" s="20"/>
      <c r="K119" s="20" t="s">
        <v>133</v>
      </c>
      <c r="L119" s="20"/>
      <c r="M119" s="20"/>
      <c r="N119" s="27" t="s">
        <v>11</v>
      </c>
      <c r="O119" s="21">
        <f t="shared" ref="O119:O124" si="25">IF(N119="Completed",100%,IF(OR(N119="In Progress",N119="On Hold"),50%,0%))</f>
        <v>0</v>
      </c>
      <c r="P119" s="22">
        <f>P118</f>
        <v>46302</v>
      </c>
      <c r="Q119" s="22">
        <f>P119+(Settings!$B$5)-1+2*INT((WEEKDAY(P119,1)-1+(Settings!$B$5)-1)/5)</f>
        <v>46306</v>
      </c>
      <c r="R119" s="28"/>
      <c r="S119" s="28"/>
      <c r="T119" s="20">
        <f t="shared" ca="1" si="18"/>
        <v>0</v>
      </c>
      <c r="U119" s="20" t="str">
        <f t="shared" ca="1" si="19"/>
        <v>Green</v>
      </c>
      <c r="V119" s="38" t="s">
        <v>130</v>
      </c>
      <c r="W119" s="39"/>
      <c r="X119" s="39"/>
      <c r="Y119" s="40">
        <v>46233.453472222223</v>
      </c>
      <c r="Z119" s="38" t="s">
        <v>132</v>
      </c>
    </row>
    <row r="120" spans="1:26" ht="21" customHeight="1">
      <c r="A120" s="38"/>
      <c r="B120" s="20"/>
      <c r="C120" s="20"/>
      <c r="D120" s="20" t="s">
        <v>108</v>
      </c>
      <c r="E120" s="38"/>
      <c r="F120" s="38"/>
      <c r="G120" s="20" t="str">
        <f>G118</f>
        <v>MEDIUM</v>
      </c>
      <c r="H120" s="38" t="s">
        <v>131</v>
      </c>
      <c r="I120" s="20" t="str">
        <f>I118</f>
        <v>Developer 1</v>
      </c>
      <c r="J120" s="20"/>
      <c r="K120" s="20" t="s">
        <v>133</v>
      </c>
      <c r="L120" s="20"/>
      <c r="M120" s="20"/>
      <c r="N120" s="27" t="s">
        <v>11</v>
      </c>
      <c r="O120" s="21">
        <f t="shared" si="25"/>
        <v>0</v>
      </c>
      <c r="P120" s="22">
        <f>Q119+1+2*INT((WEEKDAY(Q119,1)-1+1)/5)</f>
        <v>46307</v>
      </c>
      <c r="Q120" s="22">
        <f>P120+(Settings!$B$6)-1+2*INT((WEEKDAY(P120,1)-1+(Settings!$B$6)-1)/5)</f>
        <v>46313</v>
      </c>
      <c r="R120" s="28"/>
      <c r="S120" s="28"/>
      <c r="T120" s="20">
        <f t="shared" ca="1" si="18"/>
        <v>0</v>
      </c>
      <c r="U120" s="20" t="str">
        <f t="shared" ca="1" si="19"/>
        <v>Green</v>
      </c>
      <c r="V120" s="38" t="s">
        <v>130</v>
      </c>
      <c r="W120" s="39"/>
      <c r="X120" s="39"/>
      <c r="Y120" s="40">
        <v>46233.453472222223</v>
      </c>
      <c r="Z120" s="38" t="s">
        <v>132</v>
      </c>
    </row>
    <row r="121" spans="1:26" ht="21" customHeight="1">
      <c r="A121" s="38"/>
      <c r="B121" s="20"/>
      <c r="C121" s="20"/>
      <c r="D121" s="20" t="s">
        <v>109</v>
      </c>
      <c r="E121" s="38"/>
      <c r="F121" s="38"/>
      <c r="G121" s="20" t="str">
        <f>G118</f>
        <v>MEDIUM</v>
      </c>
      <c r="H121" s="38" t="s">
        <v>131</v>
      </c>
      <c r="I121" s="20" t="str">
        <f>I118</f>
        <v>Developer 1</v>
      </c>
      <c r="J121" s="20"/>
      <c r="K121" s="20" t="s">
        <v>134</v>
      </c>
      <c r="L121" s="20"/>
      <c r="M121" s="23"/>
      <c r="N121" s="27" t="s">
        <v>11</v>
      </c>
      <c r="O121" s="21">
        <f t="shared" si="25"/>
        <v>0</v>
      </c>
      <c r="P121" s="22">
        <f>Q120+1+2*INT((WEEKDAY(Q120,1)-1+1)/5)</f>
        <v>46314</v>
      </c>
      <c r="Q121" s="22">
        <f>P121+(Settings!$B$7)-1+2*INT((WEEKDAY(P121,1)-1+(Settings!$B$7)-1)/5)</f>
        <v>46314</v>
      </c>
      <c r="R121" s="28"/>
      <c r="S121" s="28"/>
      <c r="T121" s="20">
        <f t="shared" ca="1" si="18"/>
        <v>0</v>
      </c>
      <c r="U121" s="20" t="str">
        <f t="shared" ca="1" si="19"/>
        <v>Green</v>
      </c>
      <c r="V121" s="38" t="s">
        <v>130</v>
      </c>
      <c r="W121" s="39"/>
      <c r="X121" s="39"/>
      <c r="Y121" s="40">
        <v>46233.453472222223</v>
      </c>
      <c r="Z121" s="38" t="s">
        <v>132</v>
      </c>
    </row>
    <row r="122" spans="1:26" ht="21" customHeight="1">
      <c r="A122" s="38"/>
      <c r="B122" s="20"/>
      <c r="C122" s="20"/>
      <c r="D122" s="20" t="s">
        <v>110</v>
      </c>
      <c r="E122" s="38"/>
      <c r="F122" s="38"/>
      <c r="G122" s="20" t="str">
        <f>G118</f>
        <v>MEDIUM</v>
      </c>
      <c r="H122" s="38" t="s">
        <v>131</v>
      </c>
      <c r="I122" s="20" t="str">
        <f>I118</f>
        <v>Developer 1</v>
      </c>
      <c r="J122" s="20"/>
      <c r="K122" s="20" t="s">
        <v>135</v>
      </c>
      <c r="L122" s="20"/>
      <c r="M122" s="20"/>
      <c r="N122" s="27" t="s">
        <v>11</v>
      </c>
      <c r="O122" s="21">
        <f t="shared" si="25"/>
        <v>0</v>
      </c>
      <c r="P122" s="22">
        <f>Q121+1+2*INT((WEEKDAY(Q121,1)-1+1)/5)</f>
        <v>46315</v>
      </c>
      <c r="Q122" s="22">
        <f>P122+(IF(G122="LOW",Settings!$B$8,IF(G122="MEDIUM",Settings!$B$9,Settings!$B$10)))-1+2*INT((WEEKDAY(P122,1)-1+(IF(G122="LOW",Settings!$B$8,IF(G122="MEDIUM",Settings!$B$9,Settings!$B$10)))-1)/5)</f>
        <v>46335</v>
      </c>
      <c r="R122" s="28"/>
      <c r="S122" s="28"/>
      <c r="T122" s="20">
        <f t="shared" ca="1" si="18"/>
        <v>0</v>
      </c>
      <c r="U122" s="20" t="str">
        <f t="shared" ca="1" si="19"/>
        <v>Green</v>
      </c>
      <c r="V122" s="38" t="s">
        <v>130</v>
      </c>
      <c r="W122" s="39"/>
      <c r="X122" s="39"/>
      <c r="Y122" s="40">
        <v>46233.453472222223</v>
      </c>
      <c r="Z122" s="38" t="s">
        <v>132</v>
      </c>
    </row>
    <row r="123" spans="1:26" ht="21" customHeight="1">
      <c r="A123" s="38"/>
      <c r="B123" s="20"/>
      <c r="C123" s="20"/>
      <c r="D123" s="20" t="s">
        <v>111</v>
      </c>
      <c r="E123" s="38"/>
      <c r="F123" s="38"/>
      <c r="G123" s="20" t="str">
        <f>G118</f>
        <v>MEDIUM</v>
      </c>
      <c r="H123" s="38" t="s">
        <v>131</v>
      </c>
      <c r="I123" s="20" t="str">
        <f>I118</f>
        <v>Developer 1</v>
      </c>
      <c r="J123" s="20"/>
      <c r="K123" s="20" t="s">
        <v>136</v>
      </c>
      <c r="L123" s="20"/>
      <c r="M123" s="20"/>
      <c r="N123" s="27" t="s">
        <v>11</v>
      </c>
      <c r="O123" s="21">
        <f t="shared" si="25"/>
        <v>0</v>
      </c>
      <c r="P123" s="22">
        <f>Q122+1+2*INT((WEEKDAY(Q122,1)-1+1)/5)</f>
        <v>46336</v>
      </c>
      <c r="Q123" s="22">
        <f>P123+(Settings!$B$11)-1+2*INT((WEEKDAY(P123,1)-1+(Settings!$B$11)-1)/5)</f>
        <v>46336</v>
      </c>
      <c r="R123" s="28"/>
      <c r="S123" s="28"/>
      <c r="T123" s="20">
        <f t="shared" ca="1" si="18"/>
        <v>0</v>
      </c>
      <c r="U123" s="20" t="str">
        <f t="shared" ca="1" si="19"/>
        <v>Green</v>
      </c>
      <c r="V123" s="38" t="s">
        <v>130</v>
      </c>
      <c r="W123" s="39"/>
      <c r="X123" s="39"/>
      <c r="Y123" s="40">
        <v>46233.453472222223</v>
      </c>
      <c r="Z123" s="38" t="s">
        <v>132</v>
      </c>
    </row>
    <row r="124" spans="1:26" ht="21" customHeight="1">
      <c r="A124" s="38"/>
      <c r="B124" s="20"/>
      <c r="C124" s="20"/>
      <c r="D124" s="20" t="s">
        <v>112</v>
      </c>
      <c r="E124" s="38"/>
      <c r="F124" s="38"/>
      <c r="G124" s="20" t="str">
        <f>G118</f>
        <v>MEDIUM</v>
      </c>
      <c r="H124" s="38" t="s">
        <v>131</v>
      </c>
      <c r="I124" s="20" t="str">
        <f>I118</f>
        <v>Developer 1</v>
      </c>
      <c r="J124" s="20"/>
      <c r="K124" s="20" t="s">
        <v>135</v>
      </c>
      <c r="L124" s="20"/>
      <c r="M124" s="20"/>
      <c r="N124" s="27" t="s">
        <v>11</v>
      </c>
      <c r="O124" s="21">
        <f t="shared" si="25"/>
        <v>0</v>
      </c>
      <c r="P124" s="22">
        <f>Q123+1+2*INT((WEEKDAY(Q123,1)-1+1)/5)</f>
        <v>46337</v>
      </c>
      <c r="Q124" s="22">
        <f>P124+(Settings!$B$12)-1+2*INT((WEEKDAY(P124,1)-1+(Settings!$B$12)-1)/5)</f>
        <v>46337</v>
      </c>
      <c r="R124" s="28"/>
      <c r="S124" s="28"/>
      <c r="T124" s="20">
        <f t="shared" ca="1" si="18"/>
        <v>0</v>
      </c>
      <c r="U124" s="20" t="str">
        <f t="shared" ca="1" si="19"/>
        <v>Green</v>
      </c>
      <c r="V124" s="38" t="s">
        <v>130</v>
      </c>
      <c r="W124" s="39"/>
      <c r="X124" s="39"/>
      <c r="Y124" s="40">
        <v>46233.453472222223</v>
      </c>
      <c r="Z124" s="38" t="s">
        <v>132</v>
      </c>
    </row>
    <row r="125" spans="1:26" ht="21" customHeight="1">
      <c r="A125" s="17" t="s">
        <v>152</v>
      </c>
      <c r="B125" s="17" t="s">
        <v>52</v>
      </c>
      <c r="C125" s="17"/>
      <c r="D125" s="17" t="s">
        <v>10</v>
      </c>
      <c r="E125" s="35"/>
      <c r="F125" s="35"/>
      <c r="G125" s="17" t="str">
        <f>'Process Summary'!B20</f>
        <v>MEDIUM</v>
      </c>
      <c r="H125" s="35" t="s">
        <v>131</v>
      </c>
      <c r="I125" s="17" t="str">
        <f>'Process Summary'!C20</f>
        <v>Developer 2</v>
      </c>
      <c r="J125" s="17"/>
      <c r="K125" s="17"/>
      <c r="L125" s="17"/>
      <c r="M125" s="17"/>
      <c r="N125" s="17" t="str">
        <f>IF(O125=100%,"Completed",IF(N126="On Hold","On Hold",IF(N127="On Hold","On Hold",IF(N128="On Hold","On Hold",IF(N129="On Hold","On Hold",IF(N130="On Hold","On Hold",IF(N131="On Hold","On Hold",IF(O125&gt;0%,"In Progress","Not Started"))))))))</f>
        <v>Not Started</v>
      </c>
      <c r="O125" s="18">
        <f>(O126*3+O127*5+O128+O129*IF(G125="LOW",13,IF(G125="MEDIUM",23,33))+O130*2+O131)/(12+IF(G125="LOW",13,IF(G125="MEDIUM",23,33)))</f>
        <v>0</v>
      </c>
      <c r="P125" s="19">
        <f>'Process Summary'!G20</f>
        <v>46338</v>
      </c>
      <c r="Q125" s="19">
        <f>Q131</f>
        <v>46373</v>
      </c>
      <c r="R125" s="19" t="str">
        <f>IF(COUNT(R126:R131)=0,"",MIN(R126:R131))</f>
        <v/>
      </c>
      <c r="S125" s="19" t="str">
        <f>IF(COUNT(S126:S131)=0,"",MAX(S126:S131))</f>
        <v/>
      </c>
      <c r="T125" s="17">
        <f t="shared" ca="1" si="18"/>
        <v>0</v>
      </c>
      <c r="U125" s="17" t="str">
        <f t="shared" ca="1" si="19"/>
        <v>Green</v>
      </c>
      <c r="V125" s="35" t="s">
        <v>130</v>
      </c>
      <c r="W125" s="36"/>
      <c r="X125" s="36"/>
      <c r="Y125" s="37">
        <v>46233.453472222223</v>
      </c>
      <c r="Z125" s="35" t="s">
        <v>132</v>
      </c>
    </row>
    <row r="126" spans="1:26" ht="21" customHeight="1">
      <c r="A126" s="38"/>
      <c r="B126" s="20"/>
      <c r="C126" s="20"/>
      <c r="D126" s="20" t="s">
        <v>107</v>
      </c>
      <c r="E126" s="38"/>
      <c r="F126" s="38"/>
      <c r="G126" s="20" t="str">
        <f>G125</f>
        <v>MEDIUM</v>
      </c>
      <c r="H126" s="38" t="s">
        <v>131</v>
      </c>
      <c r="I126" s="20" t="str">
        <f>I125</f>
        <v>Developer 2</v>
      </c>
      <c r="J126" s="20"/>
      <c r="K126" s="20" t="s">
        <v>133</v>
      </c>
      <c r="L126" s="20"/>
      <c r="M126" s="20"/>
      <c r="N126" s="27" t="s">
        <v>11</v>
      </c>
      <c r="O126" s="21">
        <f t="shared" ref="O126:O131" si="26">IF(N126="Completed",100%,IF(OR(N126="In Progress",N126="On Hold"),50%,0%))</f>
        <v>0</v>
      </c>
      <c r="P126" s="22">
        <f>P125</f>
        <v>46338</v>
      </c>
      <c r="Q126" s="22">
        <f>P126+(Settings!$B$5)-1+2*INT((WEEKDAY(P126,1)-1+(Settings!$B$5)-1)/5)</f>
        <v>46342</v>
      </c>
      <c r="R126" s="28"/>
      <c r="S126" s="28"/>
      <c r="T126" s="20">
        <f t="shared" ca="1" si="18"/>
        <v>0</v>
      </c>
      <c r="U126" s="20" t="str">
        <f t="shared" ca="1" si="19"/>
        <v>Green</v>
      </c>
      <c r="V126" s="38" t="s">
        <v>130</v>
      </c>
      <c r="W126" s="39"/>
      <c r="X126" s="39"/>
      <c r="Y126" s="40">
        <v>46233.453472222223</v>
      </c>
      <c r="Z126" s="38" t="s">
        <v>132</v>
      </c>
    </row>
    <row r="127" spans="1:26" ht="21" customHeight="1">
      <c r="A127" s="38"/>
      <c r="B127" s="20"/>
      <c r="C127" s="20"/>
      <c r="D127" s="20" t="s">
        <v>108</v>
      </c>
      <c r="E127" s="38"/>
      <c r="F127" s="38"/>
      <c r="G127" s="20" t="str">
        <f>G125</f>
        <v>MEDIUM</v>
      </c>
      <c r="H127" s="38" t="s">
        <v>131</v>
      </c>
      <c r="I127" s="20" t="str">
        <f>I125</f>
        <v>Developer 2</v>
      </c>
      <c r="J127" s="20"/>
      <c r="K127" s="20" t="s">
        <v>133</v>
      </c>
      <c r="L127" s="20"/>
      <c r="M127" s="20"/>
      <c r="N127" s="27" t="s">
        <v>11</v>
      </c>
      <c r="O127" s="21">
        <f t="shared" si="26"/>
        <v>0</v>
      </c>
      <c r="P127" s="22">
        <f>Q126+1+2*INT((WEEKDAY(Q126,1)-1+1)/5)</f>
        <v>46343</v>
      </c>
      <c r="Q127" s="22">
        <f>P127+(Settings!$B$6)-1+2*INT((WEEKDAY(P127,1)-1+(Settings!$B$6)-1)/5)</f>
        <v>46349</v>
      </c>
      <c r="R127" s="28"/>
      <c r="S127" s="28"/>
      <c r="T127" s="20">
        <f t="shared" ca="1" si="18"/>
        <v>0</v>
      </c>
      <c r="U127" s="20" t="str">
        <f t="shared" ca="1" si="19"/>
        <v>Green</v>
      </c>
      <c r="V127" s="38" t="s">
        <v>130</v>
      </c>
      <c r="W127" s="39"/>
      <c r="X127" s="39"/>
      <c r="Y127" s="40">
        <v>46233.453472222223</v>
      </c>
      <c r="Z127" s="38" t="s">
        <v>132</v>
      </c>
    </row>
    <row r="128" spans="1:26" ht="21" customHeight="1">
      <c r="A128" s="38"/>
      <c r="B128" s="20"/>
      <c r="C128" s="20"/>
      <c r="D128" s="20" t="s">
        <v>109</v>
      </c>
      <c r="E128" s="38"/>
      <c r="F128" s="38"/>
      <c r="G128" s="20" t="str">
        <f>G125</f>
        <v>MEDIUM</v>
      </c>
      <c r="H128" s="38" t="s">
        <v>131</v>
      </c>
      <c r="I128" s="20" t="str">
        <f>I125</f>
        <v>Developer 2</v>
      </c>
      <c r="J128" s="20"/>
      <c r="K128" s="20" t="s">
        <v>134</v>
      </c>
      <c r="L128" s="20"/>
      <c r="M128" s="23"/>
      <c r="N128" s="27" t="s">
        <v>11</v>
      </c>
      <c r="O128" s="21">
        <f t="shared" si="26"/>
        <v>0</v>
      </c>
      <c r="P128" s="22">
        <f>Q127+1+2*INT((WEEKDAY(Q127,1)-1+1)/5)</f>
        <v>46350</v>
      </c>
      <c r="Q128" s="22">
        <f>P128+(Settings!$B$7)-1+2*INT((WEEKDAY(P128,1)-1+(Settings!$B$7)-1)/5)</f>
        <v>46350</v>
      </c>
      <c r="R128" s="28"/>
      <c r="S128" s="28"/>
      <c r="T128" s="20">
        <f t="shared" ca="1" si="18"/>
        <v>0</v>
      </c>
      <c r="U128" s="20" t="str">
        <f t="shared" ca="1" si="19"/>
        <v>Green</v>
      </c>
      <c r="V128" s="38" t="s">
        <v>130</v>
      </c>
      <c r="W128" s="39"/>
      <c r="X128" s="39"/>
      <c r="Y128" s="40">
        <v>46233.453472222223</v>
      </c>
      <c r="Z128" s="38" t="s">
        <v>132</v>
      </c>
    </row>
    <row r="129" spans="1:26" ht="21" customHeight="1">
      <c r="A129" s="38"/>
      <c r="B129" s="20"/>
      <c r="C129" s="20"/>
      <c r="D129" s="20" t="s">
        <v>110</v>
      </c>
      <c r="E129" s="38"/>
      <c r="F129" s="38"/>
      <c r="G129" s="20" t="str">
        <f>G125</f>
        <v>MEDIUM</v>
      </c>
      <c r="H129" s="38" t="s">
        <v>131</v>
      </c>
      <c r="I129" s="20" t="str">
        <f>I125</f>
        <v>Developer 2</v>
      </c>
      <c r="J129" s="20"/>
      <c r="K129" s="20" t="s">
        <v>135</v>
      </c>
      <c r="L129" s="20"/>
      <c r="M129" s="20"/>
      <c r="N129" s="27" t="s">
        <v>11</v>
      </c>
      <c r="O129" s="21">
        <f t="shared" si="26"/>
        <v>0</v>
      </c>
      <c r="P129" s="22">
        <f>Q128+1+2*INT((WEEKDAY(Q128,1)-1+1)/5)</f>
        <v>46351</v>
      </c>
      <c r="Q129" s="22">
        <f>P129+(IF(G129="LOW",Settings!$B$8,IF(G129="MEDIUM",Settings!$B$9,Settings!$B$10)))-1+2*INT((WEEKDAY(P129,1)-1+(IF(G129="LOW",Settings!$B$8,IF(G129="MEDIUM",Settings!$B$9,Settings!$B$10)))-1)/5)</f>
        <v>46371</v>
      </c>
      <c r="R129" s="28"/>
      <c r="S129" s="28"/>
      <c r="T129" s="20">
        <f t="shared" ca="1" si="18"/>
        <v>0</v>
      </c>
      <c r="U129" s="20" t="str">
        <f t="shared" ca="1" si="19"/>
        <v>Green</v>
      </c>
      <c r="V129" s="38" t="s">
        <v>130</v>
      </c>
      <c r="W129" s="39"/>
      <c r="X129" s="39"/>
      <c r="Y129" s="40">
        <v>46233.453472222223</v>
      </c>
      <c r="Z129" s="38" t="s">
        <v>132</v>
      </c>
    </row>
    <row r="130" spans="1:26" ht="21" customHeight="1">
      <c r="A130" s="38"/>
      <c r="B130" s="20"/>
      <c r="C130" s="20"/>
      <c r="D130" s="20" t="s">
        <v>111</v>
      </c>
      <c r="E130" s="38"/>
      <c r="F130" s="38"/>
      <c r="G130" s="20" t="str">
        <f>G125</f>
        <v>MEDIUM</v>
      </c>
      <c r="H130" s="38" t="s">
        <v>131</v>
      </c>
      <c r="I130" s="20" t="str">
        <f>I125</f>
        <v>Developer 2</v>
      </c>
      <c r="J130" s="20"/>
      <c r="K130" s="20" t="s">
        <v>136</v>
      </c>
      <c r="L130" s="20"/>
      <c r="M130" s="20"/>
      <c r="N130" s="27" t="s">
        <v>11</v>
      </c>
      <c r="O130" s="21">
        <f t="shared" si="26"/>
        <v>0</v>
      </c>
      <c r="P130" s="22">
        <f>Q129+1+2*INT((WEEKDAY(Q129,1)-1+1)/5)</f>
        <v>46372</v>
      </c>
      <c r="Q130" s="22">
        <f>P130+(Settings!$B$11)-1+2*INT((WEEKDAY(P130,1)-1+(Settings!$B$11)-1)/5)</f>
        <v>46372</v>
      </c>
      <c r="R130" s="28"/>
      <c r="S130" s="28"/>
      <c r="T130" s="20">
        <f t="shared" ca="1" si="18"/>
        <v>0</v>
      </c>
      <c r="U130" s="20" t="str">
        <f t="shared" ca="1" si="19"/>
        <v>Green</v>
      </c>
      <c r="V130" s="38" t="s">
        <v>130</v>
      </c>
      <c r="W130" s="39"/>
      <c r="X130" s="39"/>
      <c r="Y130" s="40">
        <v>46233.453472222223</v>
      </c>
      <c r="Z130" s="38" t="s">
        <v>132</v>
      </c>
    </row>
    <row r="131" spans="1:26" ht="21" customHeight="1">
      <c r="A131" s="38"/>
      <c r="B131" s="20"/>
      <c r="C131" s="20"/>
      <c r="D131" s="20" t="s">
        <v>112</v>
      </c>
      <c r="E131" s="38"/>
      <c r="F131" s="38"/>
      <c r="G131" s="20" t="str">
        <f>G125</f>
        <v>MEDIUM</v>
      </c>
      <c r="H131" s="38" t="s">
        <v>131</v>
      </c>
      <c r="I131" s="20" t="str">
        <f>I125</f>
        <v>Developer 2</v>
      </c>
      <c r="J131" s="20"/>
      <c r="K131" s="20" t="s">
        <v>135</v>
      </c>
      <c r="L131" s="20"/>
      <c r="M131" s="20"/>
      <c r="N131" s="27" t="s">
        <v>11</v>
      </c>
      <c r="O131" s="21">
        <f t="shared" si="26"/>
        <v>0</v>
      </c>
      <c r="P131" s="22">
        <f>Q130+1+2*INT((WEEKDAY(Q130,1)-1+1)/5)</f>
        <v>46373</v>
      </c>
      <c r="Q131" s="22">
        <f>P131+(Settings!$B$12)-1+2*INT((WEEKDAY(P131,1)-1+(Settings!$B$12)-1)/5)</f>
        <v>46373</v>
      </c>
      <c r="R131" s="28"/>
      <c r="S131" s="28"/>
      <c r="T131" s="20">
        <f t="shared" ca="1" si="18"/>
        <v>0</v>
      </c>
      <c r="U131" s="20" t="str">
        <f t="shared" ca="1" si="19"/>
        <v>Green</v>
      </c>
      <c r="V131" s="38" t="s">
        <v>130</v>
      </c>
      <c r="W131" s="39"/>
      <c r="X131" s="39"/>
      <c r="Y131" s="40">
        <v>46233.453472222223</v>
      </c>
      <c r="Z131" s="38" t="s">
        <v>132</v>
      </c>
    </row>
    <row r="132" spans="1:26" ht="21" customHeight="1">
      <c r="A132" s="17" t="s">
        <v>153</v>
      </c>
      <c r="B132" s="17" t="s">
        <v>52</v>
      </c>
      <c r="C132" s="17"/>
      <c r="D132" s="17" t="s">
        <v>10</v>
      </c>
      <c r="E132" s="35"/>
      <c r="F132" s="35"/>
      <c r="G132" s="17" t="str">
        <f>'Process Summary'!B21</f>
        <v>MEDIUM</v>
      </c>
      <c r="H132" s="35" t="s">
        <v>131</v>
      </c>
      <c r="I132" s="17" t="str">
        <f>'Process Summary'!C21</f>
        <v>Developer 3</v>
      </c>
      <c r="J132" s="17"/>
      <c r="K132" s="17"/>
      <c r="L132" s="17"/>
      <c r="M132" s="17"/>
      <c r="N132" s="17" t="str">
        <f>IF(O132=100%,"Completed",IF(N133="On Hold","On Hold",IF(N134="On Hold","On Hold",IF(N135="On Hold","On Hold",IF(N136="On Hold","On Hold",IF(N137="On Hold","On Hold",IF(N138="On Hold","On Hold",IF(O132&gt;0%,"In Progress","Not Started"))))))))</f>
        <v>Not Started</v>
      </c>
      <c r="O132" s="18">
        <f>(O133*3+O134*5+O135+O136*IF(G132="LOW",13,IF(G132="MEDIUM",23,33))+O137*2+O138)/(12+IF(G132="LOW",13,IF(G132="MEDIUM",23,33)))</f>
        <v>0</v>
      </c>
      <c r="P132" s="19">
        <f>'Process Summary'!G21</f>
        <v>46338</v>
      </c>
      <c r="Q132" s="19">
        <f>Q138</f>
        <v>46373</v>
      </c>
      <c r="R132" s="19" t="str">
        <f>IF(COUNT(R133:R138)=0,"",MIN(R133:R138))</f>
        <v/>
      </c>
      <c r="S132" s="19" t="str">
        <f>IF(COUNT(S133:S138)=0,"",MAX(S133:S138))</f>
        <v/>
      </c>
      <c r="T132" s="17">
        <f t="shared" ca="1" si="18"/>
        <v>0</v>
      </c>
      <c r="U132" s="17" t="str">
        <f t="shared" ca="1" si="19"/>
        <v>Green</v>
      </c>
      <c r="V132" s="35" t="s">
        <v>130</v>
      </c>
      <c r="W132" s="36"/>
      <c r="X132" s="36"/>
      <c r="Y132" s="37">
        <v>46233.453472222223</v>
      </c>
      <c r="Z132" s="35" t="s">
        <v>132</v>
      </c>
    </row>
    <row r="133" spans="1:26" ht="21" customHeight="1">
      <c r="A133" s="38"/>
      <c r="B133" s="20"/>
      <c r="C133" s="20"/>
      <c r="D133" s="20" t="s">
        <v>107</v>
      </c>
      <c r="E133" s="38"/>
      <c r="F133" s="38"/>
      <c r="G133" s="20" t="str">
        <f>G132</f>
        <v>MEDIUM</v>
      </c>
      <c r="H133" s="38" t="s">
        <v>131</v>
      </c>
      <c r="I133" s="20" t="str">
        <f>I132</f>
        <v>Developer 3</v>
      </c>
      <c r="J133" s="20"/>
      <c r="K133" s="20" t="s">
        <v>133</v>
      </c>
      <c r="L133" s="20"/>
      <c r="M133" s="20"/>
      <c r="N133" s="27" t="s">
        <v>11</v>
      </c>
      <c r="O133" s="21">
        <f t="shared" ref="O133:O138" si="27">IF(N133="Completed",100%,IF(OR(N133="In Progress",N133="On Hold"),50%,0%))</f>
        <v>0</v>
      </c>
      <c r="P133" s="22">
        <f>P132</f>
        <v>46338</v>
      </c>
      <c r="Q133" s="22">
        <f>P133+(Settings!$B$5)-1+2*INT((WEEKDAY(P133,1)-1+(Settings!$B$5)-1)/5)</f>
        <v>46342</v>
      </c>
      <c r="R133" s="28"/>
      <c r="S133" s="28"/>
      <c r="T133" s="20">
        <f t="shared" ca="1" si="18"/>
        <v>0</v>
      </c>
      <c r="U133" s="20" t="str">
        <f t="shared" ca="1" si="19"/>
        <v>Green</v>
      </c>
      <c r="V133" s="38" t="s">
        <v>130</v>
      </c>
      <c r="W133" s="39"/>
      <c r="X133" s="39"/>
      <c r="Y133" s="40">
        <v>46233.453472222223</v>
      </c>
      <c r="Z133" s="38" t="s">
        <v>132</v>
      </c>
    </row>
    <row r="134" spans="1:26" ht="21" customHeight="1">
      <c r="A134" s="38"/>
      <c r="B134" s="20"/>
      <c r="C134" s="20"/>
      <c r="D134" s="20" t="s">
        <v>108</v>
      </c>
      <c r="E134" s="38"/>
      <c r="F134" s="38"/>
      <c r="G134" s="20" t="str">
        <f>G132</f>
        <v>MEDIUM</v>
      </c>
      <c r="H134" s="38" t="s">
        <v>131</v>
      </c>
      <c r="I134" s="20" t="str">
        <f>I132</f>
        <v>Developer 3</v>
      </c>
      <c r="J134" s="20"/>
      <c r="K134" s="20" t="s">
        <v>133</v>
      </c>
      <c r="L134" s="20"/>
      <c r="M134" s="20"/>
      <c r="N134" s="27" t="s">
        <v>11</v>
      </c>
      <c r="O134" s="21">
        <f t="shared" si="27"/>
        <v>0</v>
      </c>
      <c r="P134" s="22">
        <f>Q133+1+2*INT((WEEKDAY(Q133,1)-1+1)/5)</f>
        <v>46343</v>
      </c>
      <c r="Q134" s="22">
        <f>P134+(Settings!$B$6)-1+2*INT((WEEKDAY(P134,1)-1+(Settings!$B$6)-1)/5)</f>
        <v>46349</v>
      </c>
      <c r="R134" s="28"/>
      <c r="S134" s="28"/>
      <c r="T134" s="20">
        <f t="shared" ca="1" si="18"/>
        <v>0</v>
      </c>
      <c r="U134" s="20" t="str">
        <f t="shared" ca="1" si="19"/>
        <v>Green</v>
      </c>
      <c r="V134" s="38" t="s">
        <v>130</v>
      </c>
      <c r="W134" s="39"/>
      <c r="X134" s="39"/>
      <c r="Y134" s="40">
        <v>46233.453472222223</v>
      </c>
      <c r="Z134" s="38" t="s">
        <v>132</v>
      </c>
    </row>
    <row r="135" spans="1:26" ht="21" customHeight="1">
      <c r="A135" s="38"/>
      <c r="B135" s="20"/>
      <c r="C135" s="20"/>
      <c r="D135" s="20" t="s">
        <v>109</v>
      </c>
      <c r="E135" s="38"/>
      <c r="F135" s="38"/>
      <c r="G135" s="20" t="str">
        <f>G132</f>
        <v>MEDIUM</v>
      </c>
      <c r="H135" s="38" t="s">
        <v>131</v>
      </c>
      <c r="I135" s="20" t="str">
        <f>I132</f>
        <v>Developer 3</v>
      </c>
      <c r="J135" s="20"/>
      <c r="K135" s="20" t="s">
        <v>134</v>
      </c>
      <c r="L135" s="20"/>
      <c r="M135" s="23"/>
      <c r="N135" s="27" t="s">
        <v>11</v>
      </c>
      <c r="O135" s="21">
        <f t="shared" si="27"/>
        <v>0</v>
      </c>
      <c r="P135" s="22">
        <f>Q134+1+2*INT((WEEKDAY(Q134,1)-1+1)/5)</f>
        <v>46350</v>
      </c>
      <c r="Q135" s="22">
        <f>P135+(Settings!$B$7)-1+2*INT((WEEKDAY(P135,1)-1+(Settings!$B$7)-1)/5)</f>
        <v>46350</v>
      </c>
      <c r="R135" s="28"/>
      <c r="S135" s="28"/>
      <c r="T135" s="20">
        <f t="shared" ca="1" si="18"/>
        <v>0</v>
      </c>
      <c r="U135" s="20" t="str">
        <f t="shared" ca="1" si="19"/>
        <v>Green</v>
      </c>
      <c r="V135" s="38" t="s">
        <v>130</v>
      </c>
      <c r="W135" s="39"/>
      <c r="X135" s="39"/>
      <c r="Y135" s="40">
        <v>46233.453472222223</v>
      </c>
      <c r="Z135" s="38" t="s">
        <v>132</v>
      </c>
    </row>
    <row r="136" spans="1:26" ht="21" customHeight="1">
      <c r="A136" s="38"/>
      <c r="B136" s="20"/>
      <c r="C136" s="20"/>
      <c r="D136" s="20" t="s">
        <v>110</v>
      </c>
      <c r="E136" s="38"/>
      <c r="F136" s="38"/>
      <c r="G136" s="20" t="str">
        <f>G132</f>
        <v>MEDIUM</v>
      </c>
      <c r="H136" s="38" t="s">
        <v>131</v>
      </c>
      <c r="I136" s="20" t="str">
        <f>I132</f>
        <v>Developer 3</v>
      </c>
      <c r="J136" s="20"/>
      <c r="K136" s="20" t="s">
        <v>135</v>
      </c>
      <c r="L136" s="20"/>
      <c r="M136" s="20"/>
      <c r="N136" s="27" t="s">
        <v>11</v>
      </c>
      <c r="O136" s="21">
        <f t="shared" si="27"/>
        <v>0</v>
      </c>
      <c r="P136" s="22">
        <f>Q135+1+2*INT((WEEKDAY(Q135,1)-1+1)/5)</f>
        <v>46351</v>
      </c>
      <c r="Q136" s="22">
        <f>P136+(IF(G136="LOW",Settings!$B$8,IF(G136="MEDIUM",Settings!$B$9,Settings!$B$10)))-1+2*INT((WEEKDAY(P136,1)-1+(IF(G136="LOW",Settings!$B$8,IF(G136="MEDIUM",Settings!$B$9,Settings!$B$10)))-1)/5)</f>
        <v>46371</v>
      </c>
      <c r="R136" s="28"/>
      <c r="S136" s="28"/>
      <c r="T136" s="20">
        <f t="shared" ca="1" si="18"/>
        <v>0</v>
      </c>
      <c r="U136" s="20" t="str">
        <f t="shared" ca="1" si="19"/>
        <v>Green</v>
      </c>
      <c r="V136" s="38" t="s">
        <v>130</v>
      </c>
      <c r="W136" s="39"/>
      <c r="X136" s="39"/>
      <c r="Y136" s="40">
        <v>46233.453472222223</v>
      </c>
      <c r="Z136" s="38" t="s">
        <v>132</v>
      </c>
    </row>
    <row r="137" spans="1:26" ht="21" customHeight="1">
      <c r="A137" s="38"/>
      <c r="B137" s="20"/>
      <c r="C137" s="20"/>
      <c r="D137" s="20" t="s">
        <v>111</v>
      </c>
      <c r="E137" s="38"/>
      <c r="F137" s="38"/>
      <c r="G137" s="20" t="str">
        <f>G132</f>
        <v>MEDIUM</v>
      </c>
      <c r="H137" s="38" t="s">
        <v>131</v>
      </c>
      <c r="I137" s="20" t="str">
        <f>I132</f>
        <v>Developer 3</v>
      </c>
      <c r="J137" s="20"/>
      <c r="K137" s="20" t="s">
        <v>136</v>
      </c>
      <c r="L137" s="20"/>
      <c r="M137" s="20"/>
      <c r="N137" s="27" t="s">
        <v>11</v>
      </c>
      <c r="O137" s="21">
        <f t="shared" si="27"/>
        <v>0</v>
      </c>
      <c r="P137" s="22">
        <f>Q136+1+2*INT((WEEKDAY(Q136,1)-1+1)/5)</f>
        <v>46372</v>
      </c>
      <c r="Q137" s="22">
        <f>P137+(Settings!$B$11)-1+2*INT((WEEKDAY(P137,1)-1+(Settings!$B$11)-1)/5)</f>
        <v>46372</v>
      </c>
      <c r="R137" s="28"/>
      <c r="S137" s="28"/>
      <c r="T137" s="20">
        <f t="shared" ca="1" si="18"/>
        <v>0</v>
      </c>
      <c r="U137" s="20" t="str">
        <f t="shared" ca="1" si="19"/>
        <v>Green</v>
      </c>
      <c r="V137" s="38" t="s">
        <v>130</v>
      </c>
      <c r="W137" s="39"/>
      <c r="X137" s="39"/>
      <c r="Y137" s="40">
        <v>46233.453472222223</v>
      </c>
      <c r="Z137" s="38" t="s">
        <v>132</v>
      </c>
    </row>
    <row r="138" spans="1:26" ht="21" customHeight="1">
      <c r="A138" s="38"/>
      <c r="B138" s="20"/>
      <c r="C138" s="20"/>
      <c r="D138" s="20" t="s">
        <v>112</v>
      </c>
      <c r="E138" s="38"/>
      <c r="F138" s="38"/>
      <c r="G138" s="20" t="str">
        <f>G132</f>
        <v>MEDIUM</v>
      </c>
      <c r="H138" s="38" t="s">
        <v>131</v>
      </c>
      <c r="I138" s="20" t="str">
        <f>I132</f>
        <v>Developer 3</v>
      </c>
      <c r="J138" s="20"/>
      <c r="K138" s="20" t="s">
        <v>135</v>
      </c>
      <c r="L138" s="20"/>
      <c r="M138" s="20"/>
      <c r="N138" s="27" t="s">
        <v>11</v>
      </c>
      <c r="O138" s="21">
        <f t="shared" si="27"/>
        <v>0</v>
      </c>
      <c r="P138" s="22">
        <f>Q137+1+2*INT((WEEKDAY(Q137,1)-1+1)/5)</f>
        <v>46373</v>
      </c>
      <c r="Q138" s="22">
        <f>P138+(Settings!$B$12)-1+2*INT((WEEKDAY(P138,1)-1+(Settings!$B$12)-1)/5)</f>
        <v>46373</v>
      </c>
      <c r="R138" s="28"/>
      <c r="S138" s="28"/>
      <c r="T138" s="20">
        <f t="shared" ca="1" si="18"/>
        <v>0</v>
      </c>
      <c r="U138" s="20" t="str">
        <f t="shared" ca="1" si="19"/>
        <v>Green</v>
      </c>
      <c r="V138" s="38" t="s">
        <v>130</v>
      </c>
      <c r="W138" s="39"/>
      <c r="X138" s="39"/>
      <c r="Y138" s="40">
        <v>46233.453472222223</v>
      </c>
      <c r="Z138" s="38" t="s">
        <v>132</v>
      </c>
    </row>
    <row r="139" spans="1:26" ht="21" customHeight="1">
      <c r="A139" s="17" t="s">
        <v>154</v>
      </c>
      <c r="B139" s="17" t="s">
        <v>52</v>
      </c>
      <c r="C139" s="17"/>
      <c r="D139" s="17" t="s">
        <v>10</v>
      </c>
      <c r="E139" s="35"/>
      <c r="F139" s="35"/>
      <c r="G139" s="17" t="str">
        <f>'Process Summary'!B22</f>
        <v>MEDIUM</v>
      </c>
      <c r="H139" s="35" t="s">
        <v>131</v>
      </c>
      <c r="I139" s="17" t="str">
        <f>'Process Summary'!C22</f>
        <v>Developer 4</v>
      </c>
      <c r="J139" s="17"/>
      <c r="K139" s="17"/>
      <c r="L139" s="17"/>
      <c r="M139" s="17"/>
      <c r="N139" s="17" t="str">
        <f>IF(O139=100%,"Completed",IF(N140="On Hold","On Hold",IF(N141="On Hold","On Hold",IF(N142="On Hold","On Hold",IF(N143="On Hold","On Hold",IF(N144="On Hold","On Hold",IF(N145="On Hold","On Hold",IF(O139&gt;0%,"In Progress","Not Started"))))))))</f>
        <v>Not Started</v>
      </c>
      <c r="O139" s="18">
        <f>(O140*3+O141*5+O142+O143*IF(G139="LOW",13,IF(G139="MEDIUM",23,33))+O144*2+O145)/(12+IF(G139="LOW",13,IF(G139="MEDIUM",23,33)))</f>
        <v>0</v>
      </c>
      <c r="P139" s="19">
        <f>'Process Summary'!G22</f>
        <v>46338</v>
      </c>
      <c r="Q139" s="19">
        <f>Q145</f>
        <v>46373</v>
      </c>
      <c r="R139" s="19" t="str">
        <f>IF(COUNT(R140:R145)=0,"",MIN(R140:R145))</f>
        <v/>
      </c>
      <c r="S139" s="19" t="str">
        <f>IF(COUNT(S140:S145)=0,"",MAX(S140:S145))</f>
        <v/>
      </c>
      <c r="T139" s="17">
        <f t="shared" ca="1" si="18"/>
        <v>0</v>
      </c>
      <c r="U139" s="17" t="str">
        <f t="shared" ca="1" si="19"/>
        <v>Green</v>
      </c>
      <c r="V139" s="35" t="s">
        <v>130</v>
      </c>
      <c r="W139" s="36"/>
      <c r="X139" s="36"/>
      <c r="Y139" s="37">
        <v>46233.453472222223</v>
      </c>
      <c r="Z139" s="35" t="s">
        <v>132</v>
      </c>
    </row>
    <row r="140" spans="1:26" ht="21" customHeight="1">
      <c r="A140" s="38"/>
      <c r="B140" s="20"/>
      <c r="C140" s="20"/>
      <c r="D140" s="20" t="s">
        <v>107</v>
      </c>
      <c r="E140" s="38"/>
      <c r="F140" s="38"/>
      <c r="G140" s="20" t="str">
        <f>G139</f>
        <v>MEDIUM</v>
      </c>
      <c r="H140" s="38" t="s">
        <v>131</v>
      </c>
      <c r="I140" s="20" t="str">
        <f>I139</f>
        <v>Developer 4</v>
      </c>
      <c r="J140" s="20"/>
      <c r="K140" s="20" t="s">
        <v>133</v>
      </c>
      <c r="L140" s="20"/>
      <c r="M140" s="20"/>
      <c r="N140" s="27" t="s">
        <v>11</v>
      </c>
      <c r="O140" s="21">
        <f t="shared" ref="O140:O145" si="28">IF(N140="Completed",100%,IF(OR(N140="In Progress",N140="On Hold"),50%,0%))</f>
        <v>0</v>
      </c>
      <c r="P140" s="22">
        <f>P139</f>
        <v>46338</v>
      </c>
      <c r="Q140" s="22">
        <f>P140+(Settings!$B$5)-1+2*INT((WEEKDAY(P140,1)-1+(Settings!$B$5)-1)/5)</f>
        <v>46342</v>
      </c>
      <c r="R140" s="28"/>
      <c r="S140" s="28"/>
      <c r="T140" s="20">
        <f t="shared" ca="1" si="18"/>
        <v>0</v>
      </c>
      <c r="U140" s="20" t="str">
        <f t="shared" ca="1" si="19"/>
        <v>Green</v>
      </c>
      <c r="V140" s="38" t="s">
        <v>130</v>
      </c>
      <c r="W140" s="39"/>
      <c r="X140" s="39"/>
      <c r="Y140" s="40">
        <v>46233.453472222223</v>
      </c>
      <c r="Z140" s="38" t="s">
        <v>132</v>
      </c>
    </row>
    <row r="141" spans="1:26" ht="21" customHeight="1">
      <c r="A141" s="38"/>
      <c r="B141" s="20"/>
      <c r="C141" s="20"/>
      <c r="D141" s="20" t="s">
        <v>108</v>
      </c>
      <c r="E141" s="38"/>
      <c r="F141" s="38"/>
      <c r="G141" s="20" t="str">
        <f>G139</f>
        <v>MEDIUM</v>
      </c>
      <c r="H141" s="38" t="s">
        <v>131</v>
      </c>
      <c r="I141" s="20" t="str">
        <f>I139</f>
        <v>Developer 4</v>
      </c>
      <c r="J141" s="20"/>
      <c r="K141" s="20" t="s">
        <v>133</v>
      </c>
      <c r="L141" s="20"/>
      <c r="M141" s="20"/>
      <c r="N141" s="27" t="s">
        <v>11</v>
      </c>
      <c r="O141" s="21">
        <f t="shared" si="28"/>
        <v>0</v>
      </c>
      <c r="P141" s="22">
        <f>Q140+1+2*INT((WEEKDAY(Q140,1)-1+1)/5)</f>
        <v>46343</v>
      </c>
      <c r="Q141" s="22">
        <f>P141+(Settings!$B$6)-1+2*INT((WEEKDAY(P141,1)-1+(Settings!$B$6)-1)/5)</f>
        <v>46349</v>
      </c>
      <c r="R141" s="28"/>
      <c r="S141" s="28"/>
      <c r="T141" s="20">
        <f t="shared" ref="T141:T204" ca="1" si="29">IF(N141="Cancelled","",IF(S141&lt;&gt;"",S141-Q141,IF(AND(N141&lt;&gt;"Completed",TODAY()&gt;Q141),TODAY()-Q141,0)))</f>
        <v>0</v>
      </c>
      <c r="U141" s="20" t="str">
        <f t="shared" ref="U141:U204" ca="1" si="30">IF(N141="Cancelled","Gray",IF(N141="On Hold","Red",IF(N141="Completed",IF(T141&gt;5,"Red",IF(T141&gt;0,"Amber","Green")),IF(T141&gt;5,"Red",IF(T141&gt;0,"Amber","Green")))))</f>
        <v>Green</v>
      </c>
      <c r="V141" s="38" t="s">
        <v>130</v>
      </c>
      <c r="W141" s="39"/>
      <c r="X141" s="39"/>
      <c r="Y141" s="40">
        <v>46233.453472222223</v>
      </c>
      <c r="Z141" s="38" t="s">
        <v>132</v>
      </c>
    </row>
    <row r="142" spans="1:26" ht="21" customHeight="1">
      <c r="A142" s="38"/>
      <c r="B142" s="20"/>
      <c r="C142" s="20"/>
      <c r="D142" s="20" t="s">
        <v>109</v>
      </c>
      <c r="E142" s="38"/>
      <c r="F142" s="38"/>
      <c r="G142" s="20" t="str">
        <f>G139</f>
        <v>MEDIUM</v>
      </c>
      <c r="H142" s="38" t="s">
        <v>131</v>
      </c>
      <c r="I142" s="20" t="str">
        <f>I139</f>
        <v>Developer 4</v>
      </c>
      <c r="J142" s="20"/>
      <c r="K142" s="20" t="s">
        <v>134</v>
      </c>
      <c r="L142" s="20"/>
      <c r="M142" s="23"/>
      <c r="N142" s="27" t="s">
        <v>11</v>
      </c>
      <c r="O142" s="21">
        <f t="shared" si="28"/>
        <v>0</v>
      </c>
      <c r="P142" s="22">
        <f>Q141+1+2*INT((WEEKDAY(Q141,1)-1+1)/5)</f>
        <v>46350</v>
      </c>
      <c r="Q142" s="22">
        <f>P142+(Settings!$B$7)-1+2*INT((WEEKDAY(P142,1)-1+(Settings!$B$7)-1)/5)</f>
        <v>46350</v>
      </c>
      <c r="R142" s="28"/>
      <c r="S142" s="28"/>
      <c r="T142" s="20">
        <f t="shared" ca="1" si="29"/>
        <v>0</v>
      </c>
      <c r="U142" s="20" t="str">
        <f t="shared" ca="1" si="30"/>
        <v>Green</v>
      </c>
      <c r="V142" s="38" t="s">
        <v>130</v>
      </c>
      <c r="W142" s="39"/>
      <c r="X142" s="39"/>
      <c r="Y142" s="40">
        <v>46233.453472222223</v>
      </c>
      <c r="Z142" s="38" t="s">
        <v>132</v>
      </c>
    </row>
    <row r="143" spans="1:26" ht="21" customHeight="1">
      <c r="A143" s="38"/>
      <c r="B143" s="20"/>
      <c r="C143" s="20"/>
      <c r="D143" s="20" t="s">
        <v>110</v>
      </c>
      <c r="E143" s="38"/>
      <c r="F143" s="38"/>
      <c r="G143" s="20" t="str">
        <f>G139</f>
        <v>MEDIUM</v>
      </c>
      <c r="H143" s="38" t="s">
        <v>131</v>
      </c>
      <c r="I143" s="20" t="str">
        <f>I139</f>
        <v>Developer 4</v>
      </c>
      <c r="J143" s="20"/>
      <c r="K143" s="20" t="s">
        <v>135</v>
      </c>
      <c r="L143" s="20"/>
      <c r="M143" s="20"/>
      <c r="N143" s="27" t="s">
        <v>11</v>
      </c>
      <c r="O143" s="21">
        <f t="shared" si="28"/>
        <v>0</v>
      </c>
      <c r="P143" s="22">
        <f>Q142+1+2*INT((WEEKDAY(Q142,1)-1+1)/5)</f>
        <v>46351</v>
      </c>
      <c r="Q143" s="22">
        <f>P143+(IF(G143="LOW",Settings!$B$8,IF(G143="MEDIUM",Settings!$B$9,Settings!$B$10)))-1+2*INT((WEEKDAY(P143,1)-1+(IF(G143="LOW",Settings!$B$8,IF(G143="MEDIUM",Settings!$B$9,Settings!$B$10)))-1)/5)</f>
        <v>46371</v>
      </c>
      <c r="R143" s="28"/>
      <c r="S143" s="28"/>
      <c r="T143" s="20">
        <f t="shared" ca="1" si="29"/>
        <v>0</v>
      </c>
      <c r="U143" s="20" t="str">
        <f t="shared" ca="1" si="30"/>
        <v>Green</v>
      </c>
      <c r="V143" s="38" t="s">
        <v>130</v>
      </c>
      <c r="W143" s="39"/>
      <c r="X143" s="39"/>
      <c r="Y143" s="40">
        <v>46233.453472222223</v>
      </c>
      <c r="Z143" s="38" t="s">
        <v>132</v>
      </c>
    </row>
    <row r="144" spans="1:26" ht="21" customHeight="1">
      <c r="A144" s="38"/>
      <c r="B144" s="20"/>
      <c r="C144" s="20"/>
      <c r="D144" s="20" t="s">
        <v>111</v>
      </c>
      <c r="E144" s="38"/>
      <c r="F144" s="38"/>
      <c r="G144" s="20" t="str">
        <f>G139</f>
        <v>MEDIUM</v>
      </c>
      <c r="H144" s="38" t="s">
        <v>131</v>
      </c>
      <c r="I144" s="20" t="str">
        <f>I139</f>
        <v>Developer 4</v>
      </c>
      <c r="J144" s="20"/>
      <c r="K144" s="20" t="s">
        <v>136</v>
      </c>
      <c r="L144" s="20"/>
      <c r="M144" s="20"/>
      <c r="N144" s="27" t="s">
        <v>11</v>
      </c>
      <c r="O144" s="21">
        <f t="shared" si="28"/>
        <v>0</v>
      </c>
      <c r="P144" s="22">
        <f>Q143+1+2*INT((WEEKDAY(Q143,1)-1+1)/5)</f>
        <v>46372</v>
      </c>
      <c r="Q144" s="22">
        <f>P144+(Settings!$B$11)-1+2*INT((WEEKDAY(P144,1)-1+(Settings!$B$11)-1)/5)</f>
        <v>46372</v>
      </c>
      <c r="R144" s="28"/>
      <c r="S144" s="28"/>
      <c r="T144" s="20">
        <f t="shared" ca="1" si="29"/>
        <v>0</v>
      </c>
      <c r="U144" s="20" t="str">
        <f t="shared" ca="1" si="30"/>
        <v>Green</v>
      </c>
      <c r="V144" s="38" t="s">
        <v>130</v>
      </c>
      <c r="W144" s="39"/>
      <c r="X144" s="39"/>
      <c r="Y144" s="40">
        <v>46233.453472222223</v>
      </c>
      <c r="Z144" s="38" t="s">
        <v>132</v>
      </c>
    </row>
    <row r="145" spans="1:26" ht="21" customHeight="1">
      <c r="A145" s="38"/>
      <c r="B145" s="20"/>
      <c r="C145" s="20"/>
      <c r="D145" s="20" t="s">
        <v>112</v>
      </c>
      <c r="E145" s="38"/>
      <c r="F145" s="38"/>
      <c r="G145" s="20" t="str">
        <f>G139</f>
        <v>MEDIUM</v>
      </c>
      <c r="H145" s="38" t="s">
        <v>131</v>
      </c>
      <c r="I145" s="20" t="str">
        <f>I139</f>
        <v>Developer 4</v>
      </c>
      <c r="J145" s="20"/>
      <c r="K145" s="20" t="s">
        <v>135</v>
      </c>
      <c r="L145" s="20"/>
      <c r="M145" s="20"/>
      <c r="N145" s="27" t="s">
        <v>11</v>
      </c>
      <c r="O145" s="21">
        <f t="shared" si="28"/>
        <v>0</v>
      </c>
      <c r="P145" s="22">
        <f>Q144+1+2*INT((WEEKDAY(Q144,1)-1+1)/5)</f>
        <v>46373</v>
      </c>
      <c r="Q145" s="22">
        <f>P145+(Settings!$B$12)-1+2*INT((WEEKDAY(P145,1)-1+(Settings!$B$12)-1)/5)</f>
        <v>46373</v>
      </c>
      <c r="R145" s="28"/>
      <c r="S145" s="28"/>
      <c r="T145" s="20">
        <f t="shared" ca="1" si="29"/>
        <v>0</v>
      </c>
      <c r="U145" s="20" t="str">
        <f t="shared" ca="1" si="30"/>
        <v>Green</v>
      </c>
      <c r="V145" s="38" t="s">
        <v>130</v>
      </c>
      <c r="W145" s="39"/>
      <c r="X145" s="39"/>
      <c r="Y145" s="40">
        <v>46233.453472222223</v>
      </c>
      <c r="Z145" s="38" t="s">
        <v>132</v>
      </c>
    </row>
    <row r="146" spans="1:26" ht="21" customHeight="1">
      <c r="A146" s="17" t="s">
        <v>155</v>
      </c>
      <c r="B146" s="17" t="s">
        <v>52</v>
      </c>
      <c r="C146" s="17"/>
      <c r="D146" s="17" t="s">
        <v>10</v>
      </c>
      <c r="E146" s="35"/>
      <c r="F146" s="35"/>
      <c r="G146" s="17" t="str">
        <f>'Process Summary'!B23</f>
        <v>MEDIUM</v>
      </c>
      <c r="H146" s="35" t="s">
        <v>131</v>
      </c>
      <c r="I146" s="17" t="str">
        <f>'Process Summary'!C23</f>
        <v>Developer 1</v>
      </c>
      <c r="J146" s="17"/>
      <c r="K146" s="17"/>
      <c r="L146" s="17"/>
      <c r="M146" s="17"/>
      <c r="N146" s="17" t="str">
        <f>IF(O146=100%,"Completed",IF(N147="On Hold","On Hold",IF(N148="On Hold","On Hold",IF(N149="On Hold","On Hold",IF(N150="On Hold","On Hold",IF(N151="On Hold","On Hold",IF(N152="On Hold","On Hold",IF(O146&gt;0%,"In Progress","Not Started"))))))))</f>
        <v>Not Started</v>
      </c>
      <c r="O146" s="18">
        <f>(O147*3+O148*5+O149+O150*IF(G146="LOW",13,IF(G146="MEDIUM",23,33))+O151*2+O152)/(12+IF(G146="LOW",13,IF(G146="MEDIUM",23,33)))</f>
        <v>0</v>
      </c>
      <c r="P146" s="19">
        <f>'Process Summary'!G23</f>
        <v>46338</v>
      </c>
      <c r="Q146" s="19">
        <f>Q152</f>
        <v>46373</v>
      </c>
      <c r="R146" s="19" t="str">
        <f>IF(COUNT(R147:R152)=0,"",MIN(R147:R152))</f>
        <v/>
      </c>
      <c r="S146" s="19" t="str">
        <f>IF(COUNT(S147:S152)=0,"",MAX(S147:S152))</f>
        <v/>
      </c>
      <c r="T146" s="17">
        <f t="shared" ca="1" si="29"/>
        <v>0</v>
      </c>
      <c r="U146" s="17" t="str">
        <f t="shared" ca="1" si="30"/>
        <v>Green</v>
      </c>
      <c r="V146" s="35" t="s">
        <v>130</v>
      </c>
      <c r="W146" s="36"/>
      <c r="X146" s="36"/>
      <c r="Y146" s="37">
        <v>46233.453472222223</v>
      </c>
      <c r="Z146" s="35" t="s">
        <v>132</v>
      </c>
    </row>
    <row r="147" spans="1:26" ht="21" customHeight="1">
      <c r="A147" s="38"/>
      <c r="B147" s="20"/>
      <c r="C147" s="20"/>
      <c r="D147" s="20" t="s">
        <v>107</v>
      </c>
      <c r="E147" s="38"/>
      <c r="F147" s="38"/>
      <c r="G147" s="20" t="str">
        <f>G146</f>
        <v>MEDIUM</v>
      </c>
      <c r="H147" s="38" t="s">
        <v>131</v>
      </c>
      <c r="I147" s="20" t="str">
        <f>I146</f>
        <v>Developer 1</v>
      </c>
      <c r="J147" s="20"/>
      <c r="K147" s="20" t="s">
        <v>133</v>
      </c>
      <c r="L147" s="20"/>
      <c r="M147" s="20"/>
      <c r="N147" s="27" t="s">
        <v>11</v>
      </c>
      <c r="O147" s="21">
        <f t="shared" ref="O147:O152" si="31">IF(N147="Completed",100%,IF(OR(N147="In Progress",N147="On Hold"),50%,0%))</f>
        <v>0</v>
      </c>
      <c r="P147" s="22">
        <f>P146</f>
        <v>46338</v>
      </c>
      <c r="Q147" s="22">
        <f>P147+(Settings!$B$5)-1+2*INT((WEEKDAY(P147,1)-1+(Settings!$B$5)-1)/5)</f>
        <v>46342</v>
      </c>
      <c r="R147" s="28"/>
      <c r="S147" s="28"/>
      <c r="T147" s="20">
        <f t="shared" ca="1" si="29"/>
        <v>0</v>
      </c>
      <c r="U147" s="20" t="str">
        <f t="shared" ca="1" si="30"/>
        <v>Green</v>
      </c>
      <c r="V147" s="38" t="s">
        <v>130</v>
      </c>
      <c r="W147" s="39"/>
      <c r="X147" s="39"/>
      <c r="Y147" s="40">
        <v>46233.453472222223</v>
      </c>
      <c r="Z147" s="38" t="s">
        <v>132</v>
      </c>
    </row>
    <row r="148" spans="1:26" ht="21" customHeight="1">
      <c r="A148" s="38"/>
      <c r="B148" s="20"/>
      <c r="C148" s="20"/>
      <c r="D148" s="20" t="s">
        <v>108</v>
      </c>
      <c r="E148" s="38"/>
      <c r="F148" s="38"/>
      <c r="G148" s="20" t="str">
        <f>G146</f>
        <v>MEDIUM</v>
      </c>
      <c r="H148" s="38" t="s">
        <v>131</v>
      </c>
      <c r="I148" s="20" t="str">
        <f>I146</f>
        <v>Developer 1</v>
      </c>
      <c r="J148" s="20"/>
      <c r="K148" s="20" t="s">
        <v>133</v>
      </c>
      <c r="L148" s="20"/>
      <c r="M148" s="20"/>
      <c r="N148" s="27" t="s">
        <v>11</v>
      </c>
      <c r="O148" s="21">
        <f t="shared" si="31"/>
        <v>0</v>
      </c>
      <c r="P148" s="22">
        <f>Q147+1+2*INT((WEEKDAY(Q147,1)-1+1)/5)</f>
        <v>46343</v>
      </c>
      <c r="Q148" s="22">
        <f>P148+(Settings!$B$6)-1+2*INT((WEEKDAY(P148,1)-1+(Settings!$B$6)-1)/5)</f>
        <v>46349</v>
      </c>
      <c r="R148" s="28"/>
      <c r="S148" s="28"/>
      <c r="T148" s="20">
        <f t="shared" ca="1" si="29"/>
        <v>0</v>
      </c>
      <c r="U148" s="20" t="str">
        <f t="shared" ca="1" si="30"/>
        <v>Green</v>
      </c>
      <c r="V148" s="38" t="s">
        <v>130</v>
      </c>
      <c r="W148" s="39"/>
      <c r="X148" s="39"/>
      <c r="Y148" s="40">
        <v>46233.453472222223</v>
      </c>
      <c r="Z148" s="38" t="s">
        <v>132</v>
      </c>
    </row>
    <row r="149" spans="1:26" ht="21" customHeight="1">
      <c r="A149" s="38"/>
      <c r="B149" s="20"/>
      <c r="C149" s="20"/>
      <c r="D149" s="20" t="s">
        <v>109</v>
      </c>
      <c r="E149" s="38"/>
      <c r="F149" s="38"/>
      <c r="G149" s="20" t="str">
        <f>G146</f>
        <v>MEDIUM</v>
      </c>
      <c r="H149" s="38" t="s">
        <v>131</v>
      </c>
      <c r="I149" s="20" t="str">
        <f>I146</f>
        <v>Developer 1</v>
      </c>
      <c r="J149" s="20"/>
      <c r="K149" s="20" t="s">
        <v>134</v>
      </c>
      <c r="L149" s="20"/>
      <c r="M149" s="23"/>
      <c r="N149" s="27" t="s">
        <v>11</v>
      </c>
      <c r="O149" s="21">
        <f t="shared" si="31"/>
        <v>0</v>
      </c>
      <c r="P149" s="22">
        <f>Q148+1+2*INT((WEEKDAY(Q148,1)-1+1)/5)</f>
        <v>46350</v>
      </c>
      <c r="Q149" s="22">
        <f>P149+(Settings!$B$7)-1+2*INT((WEEKDAY(P149,1)-1+(Settings!$B$7)-1)/5)</f>
        <v>46350</v>
      </c>
      <c r="R149" s="28"/>
      <c r="S149" s="28"/>
      <c r="T149" s="20">
        <f t="shared" ca="1" si="29"/>
        <v>0</v>
      </c>
      <c r="U149" s="20" t="str">
        <f t="shared" ca="1" si="30"/>
        <v>Green</v>
      </c>
      <c r="V149" s="38" t="s">
        <v>130</v>
      </c>
      <c r="W149" s="39"/>
      <c r="X149" s="39"/>
      <c r="Y149" s="40">
        <v>46233.453472222223</v>
      </c>
      <c r="Z149" s="38" t="s">
        <v>132</v>
      </c>
    </row>
    <row r="150" spans="1:26" ht="21" customHeight="1">
      <c r="A150" s="38"/>
      <c r="B150" s="20"/>
      <c r="C150" s="20"/>
      <c r="D150" s="20" t="s">
        <v>110</v>
      </c>
      <c r="E150" s="38"/>
      <c r="F150" s="38"/>
      <c r="G150" s="20" t="str">
        <f>G146</f>
        <v>MEDIUM</v>
      </c>
      <c r="H150" s="38" t="s">
        <v>131</v>
      </c>
      <c r="I150" s="20" t="str">
        <f>I146</f>
        <v>Developer 1</v>
      </c>
      <c r="J150" s="20"/>
      <c r="K150" s="20" t="s">
        <v>135</v>
      </c>
      <c r="L150" s="20"/>
      <c r="M150" s="20"/>
      <c r="N150" s="27" t="s">
        <v>11</v>
      </c>
      <c r="O150" s="21">
        <f t="shared" si="31"/>
        <v>0</v>
      </c>
      <c r="P150" s="22">
        <f>Q149+1+2*INT((WEEKDAY(Q149,1)-1+1)/5)</f>
        <v>46351</v>
      </c>
      <c r="Q150" s="22">
        <f>P150+(IF(G150="LOW",Settings!$B$8,IF(G150="MEDIUM",Settings!$B$9,Settings!$B$10)))-1+2*INT((WEEKDAY(P150,1)-1+(IF(G150="LOW",Settings!$B$8,IF(G150="MEDIUM",Settings!$B$9,Settings!$B$10)))-1)/5)</f>
        <v>46371</v>
      </c>
      <c r="R150" s="28"/>
      <c r="S150" s="28"/>
      <c r="T150" s="20">
        <f t="shared" ca="1" si="29"/>
        <v>0</v>
      </c>
      <c r="U150" s="20" t="str">
        <f t="shared" ca="1" si="30"/>
        <v>Green</v>
      </c>
      <c r="V150" s="38" t="s">
        <v>130</v>
      </c>
      <c r="W150" s="39"/>
      <c r="X150" s="39"/>
      <c r="Y150" s="40">
        <v>46233.453472222223</v>
      </c>
      <c r="Z150" s="38" t="s">
        <v>132</v>
      </c>
    </row>
    <row r="151" spans="1:26" ht="21" customHeight="1">
      <c r="A151" s="38"/>
      <c r="B151" s="20"/>
      <c r="C151" s="20"/>
      <c r="D151" s="20" t="s">
        <v>111</v>
      </c>
      <c r="E151" s="38"/>
      <c r="F151" s="38"/>
      <c r="G151" s="20" t="str">
        <f>G146</f>
        <v>MEDIUM</v>
      </c>
      <c r="H151" s="38" t="s">
        <v>131</v>
      </c>
      <c r="I151" s="20" t="str">
        <f>I146</f>
        <v>Developer 1</v>
      </c>
      <c r="J151" s="20"/>
      <c r="K151" s="20" t="s">
        <v>136</v>
      </c>
      <c r="L151" s="20"/>
      <c r="M151" s="20"/>
      <c r="N151" s="27" t="s">
        <v>11</v>
      </c>
      <c r="O151" s="21">
        <f t="shared" si="31"/>
        <v>0</v>
      </c>
      <c r="P151" s="22">
        <f>Q150+1+2*INT((WEEKDAY(Q150,1)-1+1)/5)</f>
        <v>46372</v>
      </c>
      <c r="Q151" s="22">
        <f>P151+(Settings!$B$11)-1+2*INT((WEEKDAY(P151,1)-1+(Settings!$B$11)-1)/5)</f>
        <v>46372</v>
      </c>
      <c r="R151" s="28"/>
      <c r="S151" s="28"/>
      <c r="T151" s="20">
        <f t="shared" ca="1" si="29"/>
        <v>0</v>
      </c>
      <c r="U151" s="20" t="str">
        <f t="shared" ca="1" si="30"/>
        <v>Green</v>
      </c>
      <c r="V151" s="38" t="s">
        <v>130</v>
      </c>
      <c r="W151" s="39"/>
      <c r="X151" s="39"/>
      <c r="Y151" s="40">
        <v>46233.453472222223</v>
      </c>
      <c r="Z151" s="38" t="s">
        <v>132</v>
      </c>
    </row>
    <row r="152" spans="1:26" ht="21" customHeight="1">
      <c r="A152" s="38"/>
      <c r="B152" s="20"/>
      <c r="C152" s="20"/>
      <c r="D152" s="20" t="s">
        <v>112</v>
      </c>
      <c r="E152" s="38"/>
      <c r="F152" s="38"/>
      <c r="G152" s="20" t="str">
        <f>G146</f>
        <v>MEDIUM</v>
      </c>
      <c r="H152" s="38" t="s">
        <v>131</v>
      </c>
      <c r="I152" s="20" t="str">
        <f>I146</f>
        <v>Developer 1</v>
      </c>
      <c r="J152" s="20"/>
      <c r="K152" s="20" t="s">
        <v>135</v>
      </c>
      <c r="L152" s="20"/>
      <c r="M152" s="20"/>
      <c r="N152" s="27" t="s">
        <v>11</v>
      </c>
      <c r="O152" s="21">
        <f t="shared" si="31"/>
        <v>0</v>
      </c>
      <c r="P152" s="22">
        <f>Q151+1+2*INT((WEEKDAY(Q151,1)-1+1)/5)</f>
        <v>46373</v>
      </c>
      <c r="Q152" s="22">
        <f>P152+(Settings!$B$12)-1+2*INT((WEEKDAY(P152,1)-1+(Settings!$B$12)-1)/5)</f>
        <v>46373</v>
      </c>
      <c r="R152" s="28"/>
      <c r="S152" s="28"/>
      <c r="T152" s="20">
        <f t="shared" ca="1" si="29"/>
        <v>0</v>
      </c>
      <c r="U152" s="20" t="str">
        <f t="shared" ca="1" si="30"/>
        <v>Green</v>
      </c>
      <c r="V152" s="38" t="s">
        <v>130</v>
      </c>
      <c r="W152" s="39"/>
      <c r="X152" s="39"/>
      <c r="Y152" s="40">
        <v>46233.453472222223</v>
      </c>
      <c r="Z152" s="38" t="s">
        <v>132</v>
      </c>
    </row>
    <row r="153" spans="1:26" ht="21" customHeight="1">
      <c r="A153" s="17" t="s">
        <v>156</v>
      </c>
      <c r="B153" s="17" t="s">
        <v>52</v>
      </c>
      <c r="C153" s="17"/>
      <c r="D153" s="17" t="s">
        <v>10</v>
      </c>
      <c r="E153" s="35"/>
      <c r="F153" s="35"/>
      <c r="G153" s="17" t="str">
        <f>'Process Summary'!B24</f>
        <v>MEDIUM</v>
      </c>
      <c r="H153" s="35" t="s">
        <v>131</v>
      </c>
      <c r="I153" s="17" t="str">
        <f>'Process Summary'!C24</f>
        <v>Developer 2</v>
      </c>
      <c r="J153" s="17"/>
      <c r="K153" s="17"/>
      <c r="L153" s="17"/>
      <c r="M153" s="17"/>
      <c r="N153" s="17" t="str">
        <f>IF(O153=100%,"Completed",IF(N154="On Hold","On Hold",IF(N155="On Hold","On Hold",IF(N156="On Hold","On Hold",IF(N157="On Hold","On Hold",IF(N158="On Hold","On Hold",IF(N159="On Hold","On Hold",IF(O153&gt;0%,"In Progress","Not Started"))))))))</f>
        <v>Not Started</v>
      </c>
      <c r="O153" s="18">
        <f>(O154*3+O155*5+O156+O157*IF(G153="LOW",13,IF(G153="MEDIUM",23,33))+O158*2+O159)/(12+IF(G153="LOW",13,IF(G153="MEDIUM",23,33)))</f>
        <v>0</v>
      </c>
      <c r="P153" s="19">
        <f>'Process Summary'!G24</f>
        <v>46376</v>
      </c>
      <c r="Q153" s="19">
        <f>Q159</f>
        <v>46411</v>
      </c>
      <c r="R153" s="19" t="str">
        <f>IF(COUNT(R154:R159)=0,"",MIN(R154:R159))</f>
        <v/>
      </c>
      <c r="S153" s="19" t="str">
        <f>IF(COUNT(S154:S159)=0,"",MAX(S154:S159))</f>
        <v/>
      </c>
      <c r="T153" s="17">
        <f t="shared" ca="1" si="29"/>
        <v>0</v>
      </c>
      <c r="U153" s="17" t="str">
        <f t="shared" ca="1" si="30"/>
        <v>Green</v>
      </c>
      <c r="V153" s="35" t="s">
        <v>130</v>
      </c>
      <c r="W153" s="36"/>
      <c r="X153" s="36"/>
      <c r="Y153" s="37">
        <v>46233.453472222223</v>
      </c>
      <c r="Z153" s="35" t="s">
        <v>132</v>
      </c>
    </row>
    <row r="154" spans="1:26" ht="21" customHeight="1">
      <c r="A154" s="38"/>
      <c r="B154" s="20"/>
      <c r="C154" s="20"/>
      <c r="D154" s="20" t="s">
        <v>107</v>
      </c>
      <c r="E154" s="38"/>
      <c r="F154" s="38"/>
      <c r="G154" s="20" t="str">
        <f>G153</f>
        <v>MEDIUM</v>
      </c>
      <c r="H154" s="38" t="s">
        <v>131</v>
      </c>
      <c r="I154" s="20" t="str">
        <f>I153</f>
        <v>Developer 2</v>
      </c>
      <c r="J154" s="20"/>
      <c r="K154" s="20" t="s">
        <v>133</v>
      </c>
      <c r="L154" s="20"/>
      <c r="M154" s="20"/>
      <c r="N154" s="27" t="s">
        <v>11</v>
      </c>
      <c r="O154" s="21">
        <f t="shared" ref="O154:O159" si="32">IF(N154="Completed",100%,IF(OR(N154="In Progress",N154="On Hold"),50%,0%))</f>
        <v>0</v>
      </c>
      <c r="P154" s="22">
        <f>P153</f>
        <v>46376</v>
      </c>
      <c r="Q154" s="22">
        <f>P154+(Settings!$B$5)-1+2*INT((WEEKDAY(P154,1)-1+(Settings!$B$5)-1)/5)</f>
        <v>46378</v>
      </c>
      <c r="R154" s="28"/>
      <c r="S154" s="28"/>
      <c r="T154" s="20">
        <f t="shared" ca="1" si="29"/>
        <v>0</v>
      </c>
      <c r="U154" s="20" t="str">
        <f t="shared" ca="1" si="30"/>
        <v>Green</v>
      </c>
      <c r="V154" s="38" t="s">
        <v>130</v>
      </c>
      <c r="W154" s="39"/>
      <c r="X154" s="39"/>
      <c r="Y154" s="40">
        <v>46233.453472222223</v>
      </c>
      <c r="Z154" s="38" t="s">
        <v>132</v>
      </c>
    </row>
    <row r="155" spans="1:26" ht="21" customHeight="1">
      <c r="A155" s="38"/>
      <c r="B155" s="20"/>
      <c r="C155" s="20"/>
      <c r="D155" s="20" t="s">
        <v>108</v>
      </c>
      <c r="E155" s="38"/>
      <c r="F155" s="38"/>
      <c r="G155" s="20" t="str">
        <f>G153</f>
        <v>MEDIUM</v>
      </c>
      <c r="H155" s="38" t="s">
        <v>131</v>
      </c>
      <c r="I155" s="20" t="str">
        <f>I153</f>
        <v>Developer 2</v>
      </c>
      <c r="J155" s="20"/>
      <c r="K155" s="20" t="s">
        <v>133</v>
      </c>
      <c r="L155" s="20"/>
      <c r="M155" s="20"/>
      <c r="N155" s="27" t="s">
        <v>11</v>
      </c>
      <c r="O155" s="21">
        <f t="shared" si="32"/>
        <v>0</v>
      </c>
      <c r="P155" s="22">
        <f>Q154+1+2*INT((WEEKDAY(Q154,1)-1+1)/5)</f>
        <v>46379</v>
      </c>
      <c r="Q155" s="22">
        <f>P155+(Settings!$B$6)-1+2*INT((WEEKDAY(P155,1)-1+(Settings!$B$6)-1)/5)</f>
        <v>46385</v>
      </c>
      <c r="R155" s="28"/>
      <c r="S155" s="28"/>
      <c r="T155" s="20">
        <f t="shared" ca="1" si="29"/>
        <v>0</v>
      </c>
      <c r="U155" s="20" t="str">
        <f t="shared" ca="1" si="30"/>
        <v>Green</v>
      </c>
      <c r="V155" s="38" t="s">
        <v>130</v>
      </c>
      <c r="W155" s="39"/>
      <c r="X155" s="39"/>
      <c r="Y155" s="40">
        <v>46233.453472222223</v>
      </c>
      <c r="Z155" s="38" t="s">
        <v>132</v>
      </c>
    </row>
    <row r="156" spans="1:26" ht="21" customHeight="1">
      <c r="A156" s="38"/>
      <c r="B156" s="20"/>
      <c r="C156" s="20"/>
      <c r="D156" s="20" t="s">
        <v>109</v>
      </c>
      <c r="E156" s="38"/>
      <c r="F156" s="38"/>
      <c r="G156" s="20" t="str">
        <f>G153</f>
        <v>MEDIUM</v>
      </c>
      <c r="H156" s="38" t="s">
        <v>131</v>
      </c>
      <c r="I156" s="20" t="str">
        <f>I153</f>
        <v>Developer 2</v>
      </c>
      <c r="J156" s="20"/>
      <c r="K156" s="20" t="s">
        <v>134</v>
      </c>
      <c r="L156" s="20"/>
      <c r="M156" s="23"/>
      <c r="N156" s="27" t="s">
        <v>11</v>
      </c>
      <c r="O156" s="21">
        <f t="shared" si="32"/>
        <v>0</v>
      </c>
      <c r="P156" s="22">
        <f>Q155+1+2*INT((WEEKDAY(Q155,1)-1+1)/5)</f>
        <v>46386</v>
      </c>
      <c r="Q156" s="22">
        <f>P156+(Settings!$B$7)-1+2*INT((WEEKDAY(P156,1)-1+(Settings!$B$7)-1)/5)</f>
        <v>46386</v>
      </c>
      <c r="R156" s="28"/>
      <c r="S156" s="28"/>
      <c r="T156" s="20">
        <f t="shared" ca="1" si="29"/>
        <v>0</v>
      </c>
      <c r="U156" s="20" t="str">
        <f t="shared" ca="1" si="30"/>
        <v>Green</v>
      </c>
      <c r="V156" s="38" t="s">
        <v>130</v>
      </c>
      <c r="W156" s="39"/>
      <c r="X156" s="39"/>
      <c r="Y156" s="40">
        <v>46233.453472222223</v>
      </c>
      <c r="Z156" s="38" t="s">
        <v>132</v>
      </c>
    </row>
    <row r="157" spans="1:26" ht="21" customHeight="1">
      <c r="A157" s="38"/>
      <c r="B157" s="20"/>
      <c r="C157" s="20"/>
      <c r="D157" s="20" t="s">
        <v>110</v>
      </c>
      <c r="E157" s="38"/>
      <c r="F157" s="38"/>
      <c r="G157" s="20" t="str">
        <f>G153</f>
        <v>MEDIUM</v>
      </c>
      <c r="H157" s="38" t="s">
        <v>131</v>
      </c>
      <c r="I157" s="20" t="str">
        <f>I153</f>
        <v>Developer 2</v>
      </c>
      <c r="J157" s="20"/>
      <c r="K157" s="20" t="s">
        <v>135</v>
      </c>
      <c r="L157" s="20"/>
      <c r="M157" s="20"/>
      <c r="N157" s="27" t="s">
        <v>11</v>
      </c>
      <c r="O157" s="21">
        <f t="shared" si="32"/>
        <v>0</v>
      </c>
      <c r="P157" s="22">
        <f>Q156+1+2*INT((WEEKDAY(Q156,1)-1+1)/5)</f>
        <v>46387</v>
      </c>
      <c r="Q157" s="22">
        <f>P157+(IF(G157="LOW",Settings!$B$8,IF(G157="MEDIUM",Settings!$B$9,Settings!$B$10)))-1+2*INT((WEEKDAY(P157,1)-1+(IF(G157="LOW",Settings!$B$8,IF(G157="MEDIUM",Settings!$B$9,Settings!$B$10)))-1)/5)</f>
        <v>46407</v>
      </c>
      <c r="R157" s="28"/>
      <c r="S157" s="28"/>
      <c r="T157" s="20">
        <f t="shared" ca="1" si="29"/>
        <v>0</v>
      </c>
      <c r="U157" s="20" t="str">
        <f t="shared" ca="1" si="30"/>
        <v>Green</v>
      </c>
      <c r="V157" s="38" t="s">
        <v>130</v>
      </c>
      <c r="W157" s="39"/>
      <c r="X157" s="39"/>
      <c r="Y157" s="40">
        <v>46233.453472222223</v>
      </c>
      <c r="Z157" s="38" t="s">
        <v>132</v>
      </c>
    </row>
    <row r="158" spans="1:26" ht="21" customHeight="1">
      <c r="A158" s="38"/>
      <c r="B158" s="20"/>
      <c r="C158" s="20"/>
      <c r="D158" s="20" t="s">
        <v>111</v>
      </c>
      <c r="E158" s="38"/>
      <c r="F158" s="38"/>
      <c r="G158" s="20" t="str">
        <f>G153</f>
        <v>MEDIUM</v>
      </c>
      <c r="H158" s="38" t="s">
        <v>131</v>
      </c>
      <c r="I158" s="20" t="str">
        <f>I153</f>
        <v>Developer 2</v>
      </c>
      <c r="J158" s="20"/>
      <c r="K158" s="20" t="s">
        <v>136</v>
      </c>
      <c r="L158" s="20"/>
      <c r="M158" s="20"/>
      <c r="N158" s="27" t="s">
        <v>11</v>
      </c>
      <c r="O158" s="21">
        <f t="shared" si="32"/>
        <v>0</v>
      </c>
      <c r="P158" s="22">
        <f>Q157+1+2*INT((WEEKDAY(Q157,1)-1+1)/5)</f>
        <v>46408</v>
      </c>
      <c r="Q158" s="22">
        <f>P158+(Settings!$B$11)-1+2*INT((WEEKDAY(P158,1)-1+(Settings!$B$11)-1)/5)</f>
        <v>46408</v>
      </c>
      <c r="R158" s="28"/>
      <c r="S158" s="28"/>
      <c r="T158" s="20">
        <f t="shared" ca="1" si="29"/>
        <v>0</v>
      </c>
      <c r="U158" s="20" t="str">
        <f t="shared" ca="1" si="30"/>
        <v>Green</v>
      </c>
      <c r="V158" s="38" t="s">
        <v>130</v>
      </c>
      <c r="W158" s="39"/>
      <c r="X158" s="39"/>
      <c r="Y158" s="40">
        <v>46233.453472222223</v>
      </c>
      <c r="Z158" s="38" t="s">
        <v>132</v>
      </c>
    </row>
    <row r="159" spans="1:26" ht="21" customHeight="1">
      <c r="A159" s="38"/>
      <c r="B159" s="20"/>
      <c r="C159" s="20"/>
      <c r="D159" s="20" t="s">
        <v>112</v>
      </c>
      <c r="E159" s="38"/>
      <c r="F159" s="38"/>
      <c r="G159" s="20" t="str">
        <f>G153</f>
        <v>MEDIUM</v>
      </c>
      <c r="H159" s="38" t="s">
        <v>131</v>
      </c>
      <c r="I159" s="20" t="str">
        <f>I153</f>
        <v>Developer 2</v>
      </c>
      <c r="J159" s="20"/>
      <c r="K159" s="20" t="s">
        <v>135</v>
      </c>
      <c r="L159" s="20"/>
      <c r="M159" s="20"/>
      <c r="N159" s="27" t="s">
        <v>11</v>
      </c>
      <c r="O159" s="21">
        <f t="shared" si="32"/>
        <v>0</v>
      </c>
      <c r="P159" s="22">
        <f>Q158+1+2*INT((WEEKDAY(Q158,1)-1+1)/5)</f>
        <v>46411</v>
      </c>
      <c r="Q159" s="22">
        <f>P159+(Settings!$B$12)-1+2*INT((WEEKDAY(P159,1)-1+(Settings!$B$12)-1)/5)</f>
        <v>46411</v>
      </c>
      <c r="R159" s="28"/>
      <c r="S159" s="28"/>
      <c r="T159" s="20">
        <f t="shared" ca="1" si="29"/>
        <v>0</v>
      </c>
      <c r="U159" s="20" t="str">
        <f t="shared" ca="1" si="30"/>
        <v>Green</v>
      </c>
      <c r="V159" s="38" t="s">
        <v>130</v>
      </c>
      <c r="W159" s="39"/>
      <c r="X159" s="39"/>
      <c r="Y159" s="40">
        <v>46233.453472222223</v>
      </c>
      <c r="Z159" s="38" t="s">
        <v>132</v>
      </c>
    </row>
    <row r="160" spans="1:26" ht="21" customHeight="1">
      <c r="A160" s="17" t="s">
        <v>157</v>
      </c>
      <c r="B160" s="17" t="s">
        <v>48</v>
      </c>
      <c r="C160" s="17"/>
      <c r="D160" s="17" t="s">
        <v>10</v>
      </c>
      <c r="E160" s="35"/>
      <c r="F160" s="35"/>
      <c r="G160" s="17" t="str">
        <f>'Process Summary'!B25</f>
        <v>LOW</v>
      </c>
      <c r="H160" s="35" t="s">
        <v>131</v>
      </c>
      <c r="I160" s="17" t="str">
        <f>'Process Summary'!C25</f>
        <v>Developer 3</v>
      </c>
      <c r="J160" s="17"/>
      <c r="K160" s="17"/>
      <c r="L160" s="17"/>
      <c r="M160" s="17"/>
      <c r="N160" s="17" t="str">
        <f>IF(O160=100%,"Completed",IF(N161="On Hold","On Hold",IF(N162="On Hold","On Hold",IF(N163="On Hold","On Hold",IF(N164="On Hold","On Hold",IF(N165="On Hold","On Hold",IF(N166="On Hold","On Hold",IF(O160&gt;0%,"In Progress","Not Started"))))))))</f>
        <v>Not Started</v>
      </c>
      <c r="O160" s="18">
        <f>(O161*3+O162*5+O163+O164*IF(G160="LOW",13,IF(G160="MEDIUM",23,33))+O165*2+O166)/(12+IF(G160="LOW",13,IF(G160="MEDIUM",23,33)))</f>
        <v>0</v>
      </c>
      <c r="P160" s="19">
        <f>'Process Summary'!G25</f>
        <v>46376</v>
      </c>
      <c r="Q160" s="19">
        <f>Q166</f>
        <v>46404</v>
      </c>
      <c r="R160" s="19" t="str">
        <f>IF(COUNT(R161:R166)=0,"",MIN(R161:R166))</f>
        <v/>
      </c>
      <c r="S160" s="19" t="str">
        <f>IF(COUNT(S161:S166)=0,"",MAX(S161:S166))</f>
        <v/>
      </c>
      <c r="T160" s="17">
        <f t="shared" ca="1" si="29"/>
        <v>0</v>
      </c>
      <c r="U160" s="17" t="str">
        <f t="shared" ca="1" si="30"/>
        <v>Green</v>
      </c>
      <c r="V160" s="35" t="s">
        <v>130</v>
      </c>
      <c r="W160" s="36"/>
      <c r="X160" s="36"/>
      <c r="Y160" s="37">
        <v>46233.453472222223</v>
      </c>
      <c r="Z160" s="35" t="s">
        <v>132</v>
      </c>
    </row>
    <row r="161" spans="1:26" ht="21" customHeight="1">
      <c r="A161" s="38"/>
      <c r="B161" s="20"/>
      <c r="C161" s="20"/>
      <c r="D161" s="20" t="s">
        <v>107</v>
      </c>
      <c r="E161" s="38"/>
      <c r="F161" s="38"/>
      <c r="G161" s="20" t="str">
        <f>G160</f>
        <v>LOW</v>
      </c>
      <c r="H161" s="38" t="s">
        <v>131</v>
      </c>
      <c r="I161" s="20" t="str">
        <f>I160</f>
        <v>Developer 3</v>
      </c>
      <c r="J161" s="20"/>
      <c r="K161" s="20" t="s">
        <v>133</v>
      </c>
      <c r="L161" s="20"/>
      <c r="M161" s="20"/>
      <c r="N161" s="27" t="s">
        <v>11</v>
      </c>
      <c r="O161" s="21">
        <f t="shared" ref="O161:O166" si="33">IF(N161="Completed",100%,IF(OR(N161="In Progress",N161="On Hold"),50%,0%))</f>
        <v>0</v>
      </c>
      <c r="P161" s="22">
        <f>P160</f>
        <v>46376</v>
      </c>
      <c r="Q161" s="22">
        <f>P161+(Settings!$B$5)-1+2*INT((WEEKDAY(P161,1)-1+(Settings!$B$5)-1)/5)</f>
        <v>46378</v>
      </c>
      <c r="R161" s="28"/>
      <c r="S161" s="28"/>
      <c r="T161" s="20">
        <f t="shared" ca="1" si="29"/>
        <v>0</v>
      </c>
      <c r="U161" s="20" t="str">
        <f t="shared" ca="1" si="30"/>
        <v>Green</v>
      </c>
      <c r="V161" s="38" t="s">
        <v>130</v>
      </c>
      <c r="W161" s="39"/>
      <c r="X161" s="39"/>
      <c r="Y161" s="40">
        <v>46233.453472222223</v>
      </c>
      <c r="Z161" s="38" t="s">
        <v>132</v>
      </c>
    </row>
    <row r="162" spans="1:26" ht="21" customHeight="1">
      <c r="A162" s="38"/>
      <c r="B162" s="20"/>
      <c r="C162" s="20"/>
      <c r="D162" s="20" t="s">
        <v>108</v>
      </c>
      <c r="E162" s="38"/>
      <c r="F162" s="38"/>
      <c r="G162" s="20" t="str">
        <f>G160</f>
        <v>LOW</v>
      </c>
      <c r="H162" s="38" t="s">
        <v>131</v>
      </c>
      <c r="I162" s="20" t="str">
        <f>I160</f>
        <v>Developer 3</v>
      </c>
      <c r="J162" s="20"/>
      <c r="K162" s="20" t="s">
        <v>133</v>
      </c>
      <c r="L162" s="20"/>
      <c r="M162" s="20"/>
      <c r="N162" s="27" t="s">
        <v>11</v>
      </c>
      <c r="O162" s="21">
        <f t="shared" si="33"/>
        <v>0</v>
      </c>
      <c r="P162" s="22">
        <f>Q161+1+2*INT((WEEKDAY(Q161,1)-1+1)/5)</f>
        <v>46379</v>
      </c>
      <c r="Q162" s="22">
        <f>P162+(Settings!$B$6)-1+2*INT((WEEKDAY(P162,1)-1+(Settings!$B$6)-1)/5)</f>
        <v>46385</v>
      </c>
      <c r="R162" s="28"/>
      <c r="S162" s="28"/>
      <c r="T162" s="20">
        <f t="shared" ca="1" si="29"/>
        <v>0</v>
      </c>
      <c r="U162" s="20" t="str">
        <f t="shared" ca="1" si="30"/>
        <v>Green</v>
      </c>
      <c r="V162" s="38" t="s">
        <v>130</v>
      </c>
      <c r="W162" s="39"/>
      <c r="X162" s="39"/>
      <c r="Y162" s="40">
        <v>46233.453472222223</v>
      </c>
      <c r="Z162" s="38" t="s">
        <v>132</v>
      </c>
    </row>
    <row r="163" spans="1:26" ht="21" customHeight="1">
      <c r="A163" s="38"/>
      <c r="B163" s="20"/>
      <c r="C163" s="20"/>
      <c r="D163" s="20" t="s">
        <v>109</v>
      </c>
      <c r="E163" s="38"/>
      <c r="F163" s="38"/>
      <c r="G163" s="20" t="str">
        <f>G160</f>
        <v>LOW</v>
      </c>
      <c r="H163" s="38" t="s">
        <v>131</v>
      </c>
      <c r="I163" s="20" t="str">
        <f>I160</f>
        <v>Developer 3</v>
      </c>
      <c r="J163" s="20"/>
      <c r="K163" s="20" t="s">
        <v>134</v>
      </c>
      <c r="L163" s="20"/>
      <c r="M163" s="23"/>
      <c r="N163" s="27" t="s">
        <v>11</v>
      </c>
      <c r="O163" s="21">
        <f t="shared" si="33"/>
        <v>0</v>
      </c>
      <c r="P163" s="22">
        <f>Q162+1+2*INT((WEEKDAY(Q162,1)-1+1)/5)</f>
        <v>46386</v>
      </c>
      <c r="Q163" s="22">
        <f>P163+(Settings!$B$7)-1+2*INT((WEEKDAY(P163,1)-1+(Settings!$B$7)-1)/5)</f>
        <v>46386</v>
      </c>
      <c r="R163" s="28"/>
      <c r="S163" s="28"/>
      <c r="T163" s="20">
        <f t="shared" ca="1" si="29"/>
        <v>0</v>
      </c>
      <c r="U163" s="20" t="str">
        <f t="shared" ca="1" si="30"/>
        <v>Green</v>
      </c>
      <c r="V163" s="38" t="s">
        <v>130</v>
      </c>
      <c r="W163" s="39"/>
      <c r="X163" s="39"/>
      <c r="Y163" s="40">
        <v>46233.453472222223</v>
      </c>
      <c r="Z163" s="38" t="s">
        <v>132</v>
      </c>
    </row>
    <row r="164" spans="1:26" ht="21" customHeight="1">
      <c r="A164" s="38"/>
      <c r="B164" s="20"/>
      <c r="C164" s="20"/>
      <c r="D164" s="20" t="s">
        <v>110</v>
      </c>
      <c r="E164" s="38"/>
      <c r="F164" s="38"/>
      <c r="G164" s="20" t="str">
        <f>G160</f>
        <v>LOW</v>
      </c>
      <c r="H164" s="38" t="s">
        <v>131</v>
      </c>
      <c r="I164" s="20" t="str">
        <f>I160</f>
        <v>Developer 3</v>
      </c>
      <c r="J164" s="20"/>
      <c r="K164" s="20" t="s">
        <v>135</v>
      </c>
      <c r="L164" s="20"/>
      <c r="M164" s="20"/>
      <c r="N164" s="27" t="s">
        <v>11</v>
      </c>
      <c r="O164" s="21">
        <f t="shared" si="33"/>
        <v>0</v>
      </c>
      <c r="P164" s="22">
        <f>Q163+1+2*INT((WEEKDAY(Q163,1)-1+1)/5)</f>
        <v>46387</v>
      </c>
      <c r="Q164" s="22">
        <f>P164+(IF(G164="LOW",Settings!$B$8,IF(G164="MEDIUM",Settings!$B$9,Settings!$B$10)))-1+2*INT((WEEKDAY(P164,1)-1+(IF(G164="LOW",Settings!$B$8,IF(G164="MEDIUM",Settings!$B$9,Settings!$B$10)))-1)/5)</f>
        <v>46400</v>
      </c>
      <c r="R164" s="28"/>
      <c r="S164" s="28"/>
      <c r="T164" s="20">
        <f t="shared" ca="1" si="29"/>
        <v>0</v>
      </c>
      <c r="U164" s="20" t="str">
        <f t="shared" ca="1" si="30"/>
        <v>Green</v>
      </c>
      <c r="V164" s="38" t="s">
        <v>130</v>
      </c>
      <c r="W164" s="39"/>
      <c r="X164" s="39"/>
      <c r="Y164" s="40">
        <v>46233.453472222223</v>
      </c>
      <c r="Z164" s="38" t="s">
        <v>132</v>
      </c>
    </row>
    <row r="165" spans="1:26" ht="21" customHeight="1">
      <c r="A165" s="38"/>
      <c r="B165" s="20"/>
      <c r="C165" s="20"/>
      <c r="D165" s="20" t="s">
        <v>111</v>
      </c>
      <c r="E165" s="38"/>
      <c r="F165" s="38"/>
      <c r="G165" s="20" t="str">
        <f>G160</f>
        <v>LOW</v>
      </c>
      <c r="H165" s="38" t="s">
        <v>131</v>
      </c>
      <c r="I165" s="20" t="str">
        <f>I160</f>
        <v>Developer 3</v>
      </c>
      <c r="J165" s="20"/>
      <c r="K165" s="20" t="s">
        <v>136</v>
      </c>
      <c r="L165" s="20"/>
      <c r="M165" s="20"/>
      <c r="N165" s="27" t="s">
        <v>11</v>
      </c>
      <c r="O165" s="21">
        <f t="shared" si="33"/>
        <v>0</v>
      </c>
      <c r="P165" s="22">
        <f>Q164+1+2*INT((WEEKDAY(Q164,1)-1+1)/5)</f>
        <v>46401</v>
      </c>
      <c r="Q165" s="22">
        <f>P165+(Settings!$B$11)-1+2*INT((WEEKDAY(P165,1)-1+(Settings!$B$11)-1)/5)</f>
        <v>46401</v>
      </c>
      <c r="R165" s="28"/>
      <c r="S165" s="28"/>
      <c r="T165" s="20">
        <f t="shared" ca="1" si="29"/>
        <v>0</v>
      </c>
      <c r="U165" s="20" t="str">
        <f t="shared" ca="1" si="30"/>
        <v>Green</v>
      </c>
      <c r="V165" s="38" t="s">
        <v>130</v>
      </c>
      <c r="W165" s="39"/>
      <c r="X165" s="39"/>
      <c r="Y165" s="40">
        <v>46233.453472222223</v>
      </c>
      <c r="Z165" s="38" t="s">
        <v>132</v>
      </c>
    </row>
    <row r="166" spans="1:26" ht="21" customHeight="1">
      <c r="A166" s="38"/>
      <c r="B166" s="20"/>
      <c r="C166" s="20"/>
      <c r="D166" s="20" t="s">
        <v>112</v>
      </c>
      <c r="E166" s="38"/>
      <c r="F166" s="38"/>
      <c r="G166" s="20" t="str">
        <f>G160</f>
        <v>LOW</v>
      </c>
      <c r="H166" s="38" t="s">
        <v>131</v>
      </c>
      <c r="I166" s="20" t="str">
        <f>I160</f>
        <v>Developer 3</v>
      </c>
      <c r="J166" s="20"/>
      <c r="K166" s="20" t="s">
        <v>135</v>
      </c>
      <c r="L166" s="20"/>
      <c r="M166" s="20"/>
      <c r="N166" s="27" t="s">
        <v>11</v>
      </c>
      <c r="O166" s="21">
        <f t="shared" si="33"/>
        <v>0</v>
      </c>
      <c r="P166" s="22">
        <f>Q165+1+2*INT((WEEKDAY(Q165,1)-1+1)/5)</f>
        <v>46404</v>
      </c>
      <c r="Q166" s="22">
        <f>P166+(Settings!$B$12)-1+2*INT((WEEKDAY(P166,1)-1+(Settings!$B$12)-1)/5)</f>
        <v>46404</v>
      </c>
      <c r="R166" s="28"/>
      <c r="S166" s="28"/>
      <c r="T166" s="20">
        <f t="shared" ca="1" si="29"/>
        <v>0</v>
      </c>
      <c r="U166" s="20" t="str">
        <f t="shared" ca="1" si="30"/>
        <v>Green</v>
      </c>
      <c r="V166" s="38" t="s">
        <v>130</v>
      </c>
      <c r="W166" s="39"/>
      <c r="X166" s="39"/>
      <c r="Y166" s="40">
        <v>46233.453472222223</v>
      </c>
      <c r="Z166" s="38" t="s">
        <v>132</v>
      </c>
    </row>
    <row r="167" spans="1:26" ht="21" customHeight="1">
      <c r="A167" s="17" t="s">
        <v>158</v>
      </c>
      <c r="B167" s="17" t="s">
        <v>48</v>
      </c>
      <c r="C167" s="17"/>
      <c r="D167" s="17" t="s">
        <v>10</v>
      </c>
      <c r="E167" s="35"/>
      <c r="F167" s="35"/>
      <c r="G167" s="17" t="str">
        <f>'Process Summary'!B26</f>
        <v>LOW</v>
      </c>
      <c r="H167" s="35" t="s">
        <v>131</v>
      </c>
      <c r="I167" s="17" t="str">
        <f>'Process Summary'!C26</f>
        <v>Developer 4</v>
      </c>
      <c r="J167" s="17"/>
      <c r="K167" s="17"/>
      <c r="L167" s="17"/>
      <c r="M167" s="17"/>
      <c r="N167" s="17" t="str">
        <f>IF(O167=100%,"Completed",IF(N168="On Hold","On Hold",IF(N169="On Hold","On Hold",IF(N170="On Hold","On Hold",IF(N171="On Hold","On Hold",IF(N172="On Hold","On Hold",IF(N173="On Hold","On Hold",IF(O167&gt;0%,"In Progress","Not Started"))))))))</f>
        <v>Not Started</v>
      </c>
      <c r="O167" s="18">
        <f>(O168*3+O169*5+O170+O171*IF(G167="LOW",13,IF(G167="MEDIUM",23,33))+O172*2+O173)/(12+IF(G167="LOW",13,IF(G167="MEDIUM",23,33)))</f>
        <v>0</v>
      </c>
      <c r="P167" s="19">
        <f>'Process Summary'!G26</f>
        <v>46376</v>
      </c>
      <c r="Q167" s="19">
        <f>Q173</f>
        <v>46404</v>
      </c>
      <c r="R167" s="19" t="str">
        <f>IF(COUNT(R168:R173)=0,"",MIN(R168:R173))</f>
        <v/>
      </c>
      <c r="S167" s="19" t="str">
        <f>IF(COUNT(S168:S173)=0,"",MAX(S168:S173))</f>
        <v/>
      </c>
      <c r="T167" s="17">
        <f t="shared" ca="1" si="29"/>
        <v>0</v>
      </c>
      <c r="U167" s="17" t="str">
        <f t="shared" ca="1" si="30"/>
        <v>Green</v>
      </c>
      <c r="V167" s="35" t="s">
        <v>130</v>
      </c>
      <c r="W167" s="36"/>
      <c r="X167" s="36"/>
      <c r="Y167" s="37">
        <v>46233.453472222223</v>
      </c>
      <c r="Z167" s="35" t="s">
        <v>132</v>
      </c>
    </row>
    <row r="168" spans="1:26" ht="21" customHeight="1">
      <c r="A168" s="38"/>
      <c r="B168" s="20"/>
      <c r="C168" s="20"/>
      <c r="D168" s="20" t="s">
        <v>107</v>
      </c>
      <c r="E168" s="38"/>
      <c r="F168" s="38"/>
      <c r="G168" s="20" t="str">
        <f>G167</f>
        <v>LOW</v>
      </c>
      <c r="H168" s="38" t="s">
        <v>131</v>
      </c>
      <c r="I168" s="20" t="str">
        <f>I167</f>
        <v>Developer 4</v>
      </c>
      <c r="J168" s="20"/>
      <c r="K168" s="20" t="s">
        <v>133</v>
      </c>
      <c r="L168" s="20"/>
      <c r="M168" s="20"/>
      <c r="N168" s="27" t="s">
        <v>11</v>
      </c>
      <c r="O168" s="21">
        <f t="shared" ref="O168:O173" si="34">IF(N168="Completed",100%,IF(OR(N168="In Progress",N168="On Hold"),50%,0%))</f>
        <v>0</v>
      </c>
      <c r="P168" s="22">
        <f>P167</f>
        <v>46376</v>
      </c>
      <c r="Q168" s="22">
        <f>P168+(Settings!$B$5)-1+2*INT((WEEKDAY(P168,1)-1+(Settings!$B$5)-1)/5)</f>
        <v>46378</v>
      </c>
      <c r="R168" s="28"/>
      <c r="S168" s="28"/>
      <c r="T168" s="20">
        <f t="shared" ca="1" si="29"/>
        <v>0</v>
      </c>
      <c r="U168" s="20" t="str">
        <f t="shared" ca="1" si="30"/>
        <v>Green</v>
      </c>
      <c r="V168" s="38" t="s">
        <v>130</v>
      </c>
      <c r="W168" s="39"/>
      <c r="X168" s="39"/>
      <c r="Y168" s="40">
        <v>46233.453472222223</v>
      </c>
      <c r="Z168" s="38" t="s">
        <v>132</v>
      </c>
    </row>
    <row r="169" spans="1:26" ht="21" customHeight="1">
      <c r="A169" s="38"/>
      <c r="B169" s="20"/>
      <c r="C169" s="20"/>
      <c r="D169" s="20" t="s">
        <v>108</v>
      </c>
      <c r="E169" s="38"/>
      <c r="F169" s="38"/>
      <c r="G169" s="20" t="str">
        <f>G167</f>
        <v>LOW</v>
      </c>
      <c r="H169" s="38" t="s">
        <v>131</v>
      </c>
      <c r="I169" s="20" t="str">
        <f>I167</f>
        <v>Developer 4</v>
      </c>
      <c r="J169" s="20"/>
      <c r="K169" s="20" t="s">
        <v>133</v>
      </c>
      <c r="L169" s="20"/>
      <c r="M169" s="20"/>
      <c r="N169" s="27" t="s">
        <v>11</v>
      </c>
      <c r="O169" s="21">
        <f t="shared" si="34"/>
        <v>0</v>
      </c>
      <c r="P169" s="22">
        <f>Q168+1+2*INT((WEEKDAY(Q168,1)-1+1)/5)</f>
        <v>46379</v>
      </c>
      <c r="Q169" s="22">
        <f>P169+(Settings!$B$6)-1+2*INT((WEEKDAY(P169,1)-1+(Settings!$B$6)-1)/5)</f>
        <v>46385</v>
      </c>
      <c r="R169" s="28"/>
      <c r="S169" s="28"/>
      <c r="T169" s="20">
        <f t="shared" ca="1" si="29"/>
        <v>0</v>
      </c>
      <c r="U169" s="20" t="str">
        <f t="shared" ca="1" si="30"/>
        <v>Green</v>
      </c>
      <c r="V169" s="38" t="s">
        <v>130</v>
      </c>
      <c r="W169" s="39"/>
      <c r="X169" s="39"/>
      <c r="Y169" s="40">
        <v>46233.453472222223</v>
      </c>
      <c r="Z169" s="38" t="s">
        <v>132</v>
      </c>
    </row>
    <row r="170" spans="1:26" ht="21" customHeight="1">
      <c r="A170" s="38"/>
      <c r="B170" s="20"/>
      <c r="C170" s="20"/>
      <c r="D170" s="20" t="s">
        <v>109</v>
      </c>
      <c r="E170" s="38"/>
      <c r="F170" s="38"/>
      <c r="G170" s="20" t="str">
        <f>G167</f>
        <v>LOW</v>
      </c>
      <c r="H170" s="38" t="s">
        <v>131</v>
      </c>
      <c r="I170" s="20" t="str">
        <f>I167</f>
        <v>Developer 4</v>
      </c>
      <c r="J170" s="20"/>
      <c r="K170" s="20" t="s">
        <v>134</v>
      </c>
      <c r="L170" s="20"/>
      <c r="M170" s="23"/>
      <c r="N170" s="27" t="s">
        <v>11</v>
      </c>
      <c r="O170" s="21">
        <f t="shared" si="34"/>
        <v>0</v>
      </c>
      <c r="P170" s="22">
        <f>Q169+1+2*INT((WEEKDAY(Q169,1)-1+1)/5)</f>
        <v>46386</v>
      </c>
      <c r="Q170" s="22">
        <f>P170+(Settings!$B$7)-1+2*INT((WEEKDAY(P170,1)-1+(Settings!$B$7)-1)/5)</f>
        <v>46386</v>
      </c>
      <c r="R170" s="28"/>
      <c r="S170" s="28"/>
      <c r="T170" s="20">
        <f t="shared" ca="1" si="29"/>
        <v>0</v>
      </c>
      <c r="U170" s="20" t="str">
        <f t="shared" ca="1" si="30"/>
        <v>Green</v>
      </c>
      <c r="V170" s="38" t="s">
        <v>130</v>
      </c>
      <c r="W170" s="39"/>
      <c r="X170" s="39"/>
      <c r="Y170" s="40">
        <v>46233.453472222223</v>
      </c>
      <c r="Z170" s="38" t="s">
        <v>132</v>
      </c>
    </row>
    <row r="171" spans="1:26" ht="21" customHeight="1">
      <c r="A171" s="38"/>
      <c r="B171" s="20"/>
      <c r="C171" s="20"/>
      <c r="D171" s="20" t="s">
        <v>110</v>
      </c>
      <c r="E171" s="38"/>
      <c r="F171" s="38"/>
      <c r="G171" s="20" t="str">
        <f>G167</f>
        <v>LOW</v>
      </c>
      <c r="H171" s="38" t="s">
        <v>131</v>
      </c>
      <c r="I171" s="20" t="str">
        <f>I167</f>
        <v>Developer 4</v>
      </c>
      <c r="J171" s="20"/>
      <c r="K171" s="20" t="s">
        <v>135</v>
      </c>
      <c r="L171" s="20"/>
      <c r="M171" s="20"/>
      <c r="N171" s="27" t="s">
        <v>11</v>
      </c>
      <c r="O171" s="21">
        <f t="shared" si="34"/>
        <v>0</v>
      </c>
      <c r="P171" s="22">
        <f>Q170+1+2*INT((WEEKDAY(Q170,1)-1+1)/5)</f>
        <v>46387</v>
      </c>
      <c r="Q171" s="22">
        <f>P171+(IF(G171="LOW",Settings!$B$8,IF(G171="MEDIUM",Settings!$B$9,Settings!$B$10)))-1+2*INT((WEEKDAY(P171,1)-1+(IF(G171="LOW",Settings!$B$8,IF(G171="MEDIUM",Settings!$B$9,Settings!$B$10)))-1)/5)</f>
        <v>46400</v>
      </c>
      <c r="R171" s="28"/>
      <c r="S171" s="28"/>
      <c r="T171" s="20">
        <f t="shared" ca="1" si="29"/>
        <v>0</v>
      </c>
      <c r="U171" s="20" t="str">
        <f t="shared" ca="1" si="30"/>
        <v>Green</v>
      </c>
      <c r="V171" s="38" t="s">
        <v>130</v>
      </c>
      <c r="W171" s="39"/>
      <c r="X171" s="39"/>
      <c r="Y171" s="40">
        <v>46233.453472222223</v>
      </c>
      <c r="Z171" s="38" t="s">
        <v>132</v>
      </c>
    </row>
    <row r="172" spans="1:26" ht="21" customHeight="1">
      <c r="A172" s="38"/>
      <c r="B172" s="20"/>
      <c r="C172" s="20"/>
      <c r="D172" s="20" t="s">
        <v>111</v>
      </c>
      <c r="E172" s="38"/>
      <c r="F172" s="38"/>
      <c r="G172" s="20" t="str">
        <f>G167</f>
        <v>LOW</v>
      </c>
      <c r="H172" s="38" t="s">
        <v>131</v>
      </c>
      <c r="I172" s="20" t="str">
        <f>I167</f>
        <v>Developer 4</v>
      </c>
      <c r="J172" s="20"/>
      <c r="K172" s="20" t="s">
        <v>136</v>
      </c>
      <c r="L172" s="20"/>
      <c r="M172" s="20"/>
      <c r="N172" s="27" t="s">
        <v>11</v>
      </c>
      <c r="O172" s="21">
        <f t="shared" si="34"/>
        <v>0</v>
      </c>
      <c r="P172" s="22">
        <f>Q171+1+2*INT((WEEKDAY(Q171,1)-1+1)/5)</f>
        <v>46401</v>
      </c>
      <c r="Q172" s="22">
        <f>P172+(Settings!$B$11)-1+2*INT((WEEKDAY(P172,1)-1+(Settings!$B$11)-1)/5)</f>
        <v>46401</v>
      </c>
      <c r="R172" s="28"/>
      <c r="S172" s="28"/>
      <c r="T172" s="20">
        <f t="shared" ca="1" si="29"/>
        <v>0</v>
      </c>
      <c r="U172" s="20" t="str">
        <f t="shared" ca="1" si="30"/>
        <v>Green</v>
      </c>
      <c r="V172" s="38" t="s">
        <v>130</v>
      </c>
      <c r="W172" s="39"/>
      <c r="X172" s="39"/>
      <c r="Y172" s="40">
        <v>46233.453472222223</v>
      </c>
      <c r="Z172" s="38" t="s">
        <v>132</v>
      </c>
    </row>
    <row r="173" spans="1:26" ht="21" customHeight="1">
      <c r="A173" s="38"/>
      <c r="B173" s="20"/>
      <c r="C173" s="20"/>
      <c r="D173" s="20" t="s">
        <v>112</v>
      </c>
      <c r="E173" s="38"/>
      <c r="F173" s="38"/>
      <c r="G173" s="20" t="str">
        <f>G167</f>
        <v>LOW</v>
      </c>
      <c r="H173" s="38" t="s">
        <v>131</v>
      </c>
      <c r="I173" s="20" t="str">
        <f>I167</f>
        <v>Developer 4</v>
      </c>
      <c r="J173" s="20"/>
      <c r="K173" s="20" t="s">
        <v>135</v>
      </c>
      <c r="L173" s="20"/>
      <c r="M173" s="20"/>
      <c r="N173" s="27" t="s">
        <v>11</v>
      </c>
      <c r="O173" s="21">
        <f t="shared" si="34"/>
        <v>0</v>
      </c>
      <c r="P173" s="22">
        <f>Q172+1+2*INT((WEEKDAY(Q172,1)-1+1)/5)</f>
        <v>46404</v>
      </c>
      <c r="Q173" s="22">
        <f>P173+(Settings!$B$12)-1+2*INT((WEEKDAY(P173,1)-1+(Settings!$B$12)-1)/5)</f>
        <v>46404</v>
      </c>
      <c r="R173" s="28"/>
      <c r="S173" s="28"/>
      <c r="T173" s="20">
        <f t="shared" ca="1" si="29"/>
        <v>0</v>
      </c>
      <c r="U173" s="20" t="str">
        <f t="shared" ca="1" si="30"/>
        <v>Green</v>
      </c>
      <c r="V173" s="38" t="s">
        <v>130</v>
      </c>
      <c r="W173" s="39"/>
      <c r="X173" s="39"/>
      <c r="Y173" s="40">
        <v>46233.453472222223</v>
      </c>
      <c r="Z173" s="38" t="s">
        <v>132</v>
      </c>
    </row>
    <row r="174" spans="1:26" ht="21" customHeight="1">
      <c r="A174" s="17" t="s">
        <v>159</v>
      </c>
      <c r="B174" s="17" t="s">
        <v>48</v>
      </c>
      <c r="C174" s="17"/>
      <c r="D174" s="17" t="s">
        <v>10</v>
      </c>
      <c r="E174" s="35"/>
      <c r="F174" s="35"/>
      <c r="G174" s="17" t="str">
        <f>'Process Summary'!B27</f>
        <v>LOW</v>
      </c>
      <c r="H174" s="35" t="s">
        <v>131</v>
      </c>
      <c r="I174" s="17" t="str">
        <f>'Process Summary'!C27</f>
        <v>Developer 1</v>
      </c>
      <c r="J174" s="17"/>
      <c r="K174" s="17"/>
      <c r="L174" s="17"/>
      <c r="M174" s="17"/>
      <c r="N174" s="17" t="str">
        <f>IF(O174=100%,"Completed",IF(N175="On Hold","On Hold",IF(N176="On Hold","On Hold",IF(N177="On Hold","On Hold",IF(N178="On Hold","On Hold",IF(N179="On Hold","On Hold",IF(N180="On Hold","On Hold",IF(O174&gt;0%,"In Progress","Not Started"))))))))</f>
        <v>Not Started</v>
      </c>
      <c r="O174" s="18">
        <f>(O175*3+O176*5+O177+O178*IF(G174="LOW",13,IF(G174="MEDIUM",23,33))+O179*2+O180)/(12+IF(G174="LOW",13,IF(G174="MEDIUM",23,33)))</f>
        <v>0</v>
      </c>
      <c r="P174" s="19">
        <f>'Process Summary'!G27</f>
        <v>46376</v>
      </c>
      <c r="Q174" s="19">
        <f>Q180</f>
        <v>46404</v>
      </c>
      <c r="R174" s="19" t="str">
        <f>IF(COUNT(R175:R180)=0,"",MIN(R175:R180))</f>
        <v/>
      </c>
      <c r="S174" s="19" t="str">
        <f>IF(COUNT(S175:S180)=0,"",MAX(S175:S180))</f>
        <v/>
      </c>
      <c r="T174" s="17">
        <f t="shared" ca="1" si="29"/>
        <v>0</v>
      </c>
      <c r="U174" s="17" t="str">
        <f t="shared" ca="1" si="30"/>
        <v>Green</v>
      </c>
      <c r="V174" s="35" t="s">
        <v>130</v>
      </c>
      <c r="W174" s="36"/>
      <c r="X174" s="36"/>
      <c r="Y174" s="37">
        <v>46233.453472222223</v>
      </c>
      <c r="Z174" s="35" t="s">
        <v>132</v>
      </c>
    </row>
    <row r="175" spans="1:26" ht="21" customHeight="1">
      <c r="A175" s="38"/>
      <c r="B175" s="20"/>
      <c r="C175" s="20"/>
      <c r="D175" s="20" t="s">
        <v>107</v>
      </c>
      <c r="E175" s="38"/>
      <c r="F175" s="38"/>
      <c r="G175" s="20" t="str">
        <f>G174</f>
        <v>LOW</v>
      </c>
      <c r="H175" s="38" t="s">
        <v>131</v>
      </c>
      <c r="I175" s="20" t="str">
        <f>I174</f>
        <v>Developer 1</v>
      </c>
      <c r="J175" s="20"/>
      <c r="K175" s="20" t="s">
        <v>133</v>
      </c>
      <c r="L175" s="20"/>
      <c r="M175" s="20"/>
      <c r="N175" s="27" t="s">
        <v>11</v>
      </c>
      <c r="O175" s="21">
        <f t="shared" ref="O175:O180" si="35">IF(N175="Completed",100%,IF(OR(N175="In Progress",N175="On Hold"),50%,0%))</f>
        <v>0</v>
      </c>
      <c r="P175" s="22">
        <f>P174</f>
        <v>46376</v>
      </c>
      <c r="Q175" s="22">
        <f>P175+(Settings!$B$5)-1+2*INT((WEEKDAY(P175,1)-1+(Settings!$B$5)-1)/5)</f>
        <v>46378</v>
      </c>
      <c r="R175" s="28"/>
      <c r="S175" s="28"/>
      <c r="T175" s="20">
        <f t="shared" ca="1" si="29"/>
        <v>0</v>
      </c>
      <c r="U175" s="20" t="str">
        <f t="shared" ca="1" si="30"/>
        <v>Green</v>
      </c>
      <c r="V175" s="38" t="s">
        <v>130</v>
      </c>
      <c r="W175" s="39"/>
      <c r="X175" s="39"/>
      <c r="Y175" s="40">
        <v>46233.453472222223</v>
      </c>
      <c r="Z175" s="38" t="s">
        <v>132</v>
      </c>
    </row>
    <row r="176" spans="1:26" ht="21" customHeight="1">
      <c r="A176" s="38"/>
      <c r="B176" s="20"/>
      <c r="C176" s="20"/>
      <c r="D176" s="20" t="s">
        <v>108</v>
      </c>
      <c r="E176" s="38"/>
      <c r="F176" s="38"/>
      <c r="G176" s="20" t="str">
        <f>G174</f>
        <v>LOW</v>
      </c>
      <c r="H176" s="38" t="s">
        <v>131</v>
      </c>
      <c r="I176" s="20" t="str">
        <f>I174</f>
        <v>Developer 1</v>
      </c>
      <c r="J176" s="20"/>
      <c r="K176" s="20" t="s">
        <v>133</v>
      </c>
      <c r="L176" s="20"/>
      <c r="M176" s="20"/>
      <c r="N176" s="27" t="s">
        <v>11</v>
      </c>
      <c r="O176" s="21">
        <f t="shared" si="35"/>
        <v>0</v>
      </c>
      <c r="P176" s="22">
        <f>Q175+1+2*INT((WEEKDAY(Q175,1)-1+1)/5)</f>
        <v>46379</v>
      </c>
      <c r="Q176" s="22">
        <f>P176+(Settings!$B$6)-1+2*INT((WEEKDAY(P176,1)-1+(Settings!$B$6)-1)/5)</f>
        <v>46385</v>
      </c>
      <c r="R176" s="28"/>
      <c r="S176" s="28"/>
      <c r="T176" s="20">
        <f t="shared" ca="1" si="29"/>
        <v>0</v>
      </c>
      <c r="U176" s="20" t="str">
        <f t="shared" ca="1" si="30"/>
        <v>Green</v>
      </c>
      <c r="V176" s="38" t="s">
        <v>130</v>
      </c>
      <c r="W176" s="39"/>
      <c r="X176" s="39"/>
      <c r="Y176" s="40">
        <v>46233.453472222223</v>
      </c>
      <c r="Z176" s="38" t="s">
        <v>132</v>
      </c>
    </row>
    <row r="177" spans="1:26" ht="21" customHeight="1">
      <c r="A177" s="38"/>
      <c r="B177" s="20"/>
      <c r="C177" s="20"/>
      <c r="D177" s="20" t="s">
        <v>109</v>
      </c>
      <c r="E177" s="38"/>
      <c r="F177" s="38"/>
      <c r="G177" s="20" t="str">
        <f>G174</f>
        <v>LOW</v>
      </c>
      <c r="H177" s="38" t="s">
        <v>131</v>
      </c>
      <c r="I177" s="20" t="str">
        <f>I174</f>
        <v>Developer 1</v>
      </c>
      <c r="J177" s="20"/>
      <c r="K177" s="20" t="s">
        <v>134</v>
      </c>
      <c r="L177" s="20"/>
      <c r="M177" s="23"/>
      <c r="N177" s="27" t="s">
        <v>11</v>
      </c>
      <c r="O177" s="21">
        <f t="shared" si="35"/>
        <v>0</v>
      </c>
      <c r="P177" s="22">
        <f>Q176+1+2*INT((WEEKDAY(Q176,1)-1+1)/5)</f>
        <v>46386</v>
      </c>
      <c r="Q177" s="22">
        <f>P177+(Settings!$B$7)-1+2*INT((WEEKDAY(P177,1)-1+(Settings!$B$7)-1)/5)</f>
        <v>46386</v>
      </c>
      <c r="R177" s="28"/>
      <c r="S177" s="28"/>
      <c r="T177" s="20">
        <f t="shared" ca="1" si="29"/>
        <v>0</v>
      </c>
      <c r="U177" s="20" t="str">
        <f t="shared" ca="1" si="30"/>
        <v>Green</v>
      </c>
      <c r="V177" s="38" t="s">
        <v>130</v>
      </c>
      <c r="W177" s="39"/>
      <c r="X177" s="39"/>
      <c r="Y177" s="40">
        <v>46233.453472222223</v>
      </c>
      <c r="Z177" s="38" t="s">
        <v>132</v>
      </c>
    </row>
    <row r="178" spans="1:26" ht="21" customHeight="1">
      <c r="A178" s="38"/>
      <c r="B178" s="20"/>
      <c r="C178" s="20"/>
      <c r="D178" s="20" t="s">
        <v>110</v>
      </c>
      <c r="E178" s="38"/>
      <c r="F178" s="38"/>
      <c r="G178" s="20" t="str">
        <f>G174</f>
        <v>LOW</v>
      </c>
      <c r="H178" s="38" t="s">
        <v>131</v>
      </c>
      <c r="I178" s="20" t="str">
        <f>I174</f>
        <v>Developer 1</v>
      </c>
      <c r="J178" s="20"/>
      <c r="K178" s="20" t="s">
        <v>135</v>
      </c>
      <c r="L178" s="20"/>
      <c r="M178" s="20"/>
      <c r="N178" s="27" t="s">
        <v>11</v>
      </c>
      <c r="O178" s="21">
        <f t="shared" si="35"/>
        <v>0</v>
      </c>
      <c r="P178" s="22">
        <f>Q177+1+2*INT((WEEKDAY(Q177,1)-1+1)/5)</f>
        <v>46387</v>
      </c>
      <c r="Q178" s="22">
        <f>P178+(IF(G178="LOW",Settings!$B$8,IF(G178="MEDIUM",Settings!$B$9,Settings!$B$10)))-1+2*INT((WEEKDAY(P178,1)-1+(IF(G178="LOW",Settings!$B$8,IF(G178="MEDIUM",Settings!$B$9,Settings!$B$10)))-1)/5)</f>
        <v>46400</v>
      </c>
      <c r="R178" s="28"/>
      <c r="S178" s="28"/>
      <c r="T178" s="20">
        <f t="shared" ca="1" si="29"/>
        <v>0</v>
      </c>
      <c r="U178" s="20" t="str">
        <f t="shared" ca="1" si="30"/>
        <v>Green</v>
      </c>
      <c r="V178" s="38" t="s">
        <v>130</v>
      </c>
      <c r="W178" s="39"/>
      <c r="X178" s="39"/>
      <c r="Y178" s="40">
        <v>46233.453472222223</v>
      </c>
      <c r="Z178" s="38" t="s">
        <v>132</v>
      </c>
    </row>
    <row r="179" spans="1:26" ht="21" customHeight="1">
      <c r="A179" s="38"/>
      <c r="B179" s="20"/>
      <c r="C179" s="20"/>
      <c r="D179" s="20" t="s">
        <v>111</v>
      </c>
      <c r="E179" s="38"/>
      <c r="F179" s="38"/>
      <c r="G179" s="20" t="str">
        <f>G174</f>
        <v>LOW</v>
      </c>
      <c r="H179" s="38" t="s">
        <v>131</v>
      </c>
      <c r="I179" s="20" t="str">
        <f>I174</f>
        <v>Developer 1</v>
      </c>
      <c r="J179" s="20"/>
      <c r="K179" s="20" t="s">
        <v>136</v>
      </c>
      <c r="L179" s="20"/>
      <c r="M179" s="20"/>
      <c r="N179" s="27" t="s">
        <v>11</v>
      </c>
      <c r="O179" s="21">
        <f t="shared" si="35"/>
        <v>0</v>
      </c>
      <c r="P179" s="22">
        <f>Q178+1+2*INT((WEEKDAY(Q178,1)-1+1)/5)</f>
        <v>46401</v>
      </c>
      <c r="Q179" s="22">
        <f>P179+(Settings!$B$11)-1+2*INT((WEEKDAY(P179,1)-1+(Settings!$B$11)-1)/5)</f>
        <v>46401</v>
      </c>
      <c r="R179" s="28"/>
      <c r="S179" s="28"/>
      <c r="T179" s="20">
        <f t="shared" ca="1" si="29"/>
        <v>0</v>
      </c>
      <c r="U179" s="20" t="str">
        <f t="shared" ca="1" si="30"/>
        <v>Green</v>
      </c>
      <c r="V179" s="38" t="s">
        <v>130</v>
      </c>
      <c r="W179" s="39"/>
      <c r="X179" s="39"/>
      <c r="Y179" s="40">
        <v>46233.453472222223</v>
      </c>
      <c r="Z179" s="38" t="s">
        <v>132</v>
      </c>
    </row>
    <row r="180" spans="1:26" ht="21" customHeight="1">
      <c r="A180" s="38"/>
      <c r="B180" s="20"/>
      <c r="C180" s="20"/>
      <c r="D180" s="20" t="s">
        <v>112</v>
      </c>
      <c r="E180" s="38"/>
      <c r="F180" s="38"/>
      <c r="G180" s="20" t="str">
        <f>G174</f>
        <v>LOW</v>
      </c>
      <c r="H180" s="38" t="s">
        <v>131</v>
      </c>
      <c r="I180" s="20" t="str">
        <f>I174</f>
        <v>Developer 1</v>
      </c>
      <c r="J180" s="20"/>
      <c r="K180" s="20" t="s">
        <v>135</v>
      </c>
      <c r="L180" s="20"/>
      <c r="M180" s="20"/>
      <c r="N180" s="27" t="s">
        <v>11</v>
      </c>
      <c r="O180" s="21">
        <f t="shared" si="35"/>
        <v>0</v>
      </c>
      <c r="P180" s="22">
        <f>Q179+1+2*INT((WEEKDAY(Q179,1)-1+1)/5)</f>
        <v>46404</v>
      </c>
      <c r="Q180" s="22">
        <f>P180+(Settings!$B$12)-1+2*INT((WEEKDAY(P180,1)-1+(Settings!$B$12)-1)/5)</f>
        <v>46404</v>
      </c>
      <c r="R180" s="28"/>
      <c r="S180" s="28"/>
      <c r="T180" s="20">
        <f t="shared" ca="1" si="29"/>
        <v>0</v>
      </c>
      <c r="U180" s="20" t="str">
        <f t="shared" ca="1" si="30"/>
        <v>Green</v>
      </c>
      <c r="V180" s="38" t="s">
        <v>130</v>
      </c>
      <c r="W180" s="39"/>
      <c r="X180" s="39"/>
      <c r="Y180" s="40">
        <v>46233.453472222223</v>
      </c>
      <c r="Z180" s="38" t="s">
        <v>132</v>
      </c>
    </row>
    <row r="181" spans="1:26" ht="21" customHeight="1">
      <c r="A181" s="17" t="s">
        <v>160</v>
      </c>
      <c r="B181" s="17" t="s">
        <v>48</v>
      </c>
      <c r="C181" s="17"/>
      <c r="D181" s="17" t="s">
        <v>10</v>
      </c>
      <c r="E181" s="35"/>
      <c r="F181" s="35"/>
      <c r="G181" s="17" t="str">
        <f>'Process Summary'!B28</f>
        <v>LOW</v>
      </c>
      <c r="H181" s="35" t="s">
        <v>131</v>
      </c>
      <c r="I181" s="17" t="str">
        <f>'Process Summary'!C28</f>
        <v>Developer 2</v>
      </c>
      <c r="J181" s="17"/>
      <c r="K181" s="17"/>
      <c r="L181" s="17"/>
      <c r="M181" s="17"/>
      <c r="N181" s="17" t="str">
        <f>IF(O181=100%,"Completed",IF(N182="On Hold","On Hold",IF(N183="On Hold","On Hold",IF(N184="On Hold","On Hold",IF(N185="On Hold","On Hold",IF(N186="On Hold","On Hold",IF(N187="On Hold","On Hold",IF(O181&gt;0%,"In Progress","Not Started"))))))))</f>
        <v>Not Started</v>
      </c>
      <c r="O181" s="18">
        <f>(O182*3+O183*5+O184+O185*IF(G181="LOW",13,IF(G181="MEDIUM",23,33))+O186*2+O187)/(12+IF(G181="LOW",13,IF(G181="MEDIUM",23,33)))</f>
        <v>0</v>
      </c>
      <c r="P181" s="19">
        <f>'Process Summary'!G28</f>
        <v>46412</v>
      </c>
      <c r="Q181" s="19">
        <f>Q187</f>
        <v>46440</v>
      </c>
      <c r="R181" s="19" t="str">
        <f>IF(COUNT(R182:R187)=0,"",MIN(R182:R187))</f>
        <v/>
      </c>
      <c r="S181" s="19" t="str">
        <f>IF(COUNT(S182:S187)=0,"",MAX(S182:S187))</f>
        <v/>
      </c>
      <c r="T181" s="17">
        <f t="shared" ca="1" si="29"/>
        <v>0</v>
      </c>
      <c r="U181" s="17" t="str">
        <f t="shared" ca="1" si="30"/>
        <v>Green</v>
      </c>
      <c r="V181" s="35" t="s">
        <v>130</v>
      </c>
      <c r="W181" s="36"/>
      <c r="X181" s="36"/>
      <c r="Y181" s="37">
        <v>46233.453472222223</v>
      </c>
      <c r="Z181" s="35" t="s">
        <v>132</v>
      </c>
    </row>
    <row r="182" spans="1:26" ht="21" customHeight="1">
      <c r="A182" s="38"/>
      <c r="B182" s="20"/>
      <c r="C182" s="20"/>
      <c r="D182" s="20" t="s">
        <v>107</v>
      </c>
      <c r="E182" s="38"/>
      <c r="F182" s="38"/>
      <c r="G182" s="20" t="str">
        <f>G181</f>
        <v>LOW</v>
      </c>
      <c r="H182" s="38" t="s">
        <v>131</v>
      </c>
      <c r="I182" s="20" t="str">
        <f>I181</f>
        <v>Developer 2</v>
      </c>
      <c r="J182" s="20"/>
      <c r="K182" s="20" t="s">
        <v>133</v>
      </c>
      <c r="L182" s="20"/>
      <c r="M182" s="20"/>
      <c r="N182" s="27" t="s">
        <v>11</v>
      </c>
      <c r="O182" s="21">
        <f t="shared" ref="O182:O187" si="36">IF(N182="Completed",100%,IF(OR(N182="In Progress",N182="On Hold"),50%,0%))</f>
        <v>0</v>
      </c>
      <c r="P182" s="22">
        <f>P181</f>
        <v>46412</v>
      </c>
      <c r="Q182" s="22">
        <f>P182+(Settings!$B$5)-1+2*INT((WEEKDAY(P182,1)-1+(Settings!$B$5)-1)/5)</f>
        <v>46414</v>
      </c>
      <c r="R182" s="28"/>
      <c r="S182" s="28"/>
      <c r="T182" s="20">
        <f t="shared" ca="1" si="29"/>
        <v>0</v>
      </c>
      <c r="U182" s="20" t="str">
        <f t="shared" ca="1" si="30"/>
        <v>Green</v>
      </c>
      <c r="V182" s="38" t="s">
        <v>130</v>
      </c>
      <c r="W182" s="39"/>
      <c r="X182" s="39"/>
      <c r="Y182" s="40">
        <v>46233.453472222223</v>
      </c>
      <c r="Z182" s="38" t="s">
        <v>132</v>
      </c>
    </row>
    <row r="183" spans="1:26" ht="21" customHeight="1">
      <c r="A183" s="38"/>
      <c r="B183" s="20"/>
      <c r="C183" s="20"/>
      <c r="D183" s="20" t="s">
        <v>108</v>
      </c>
      <c r="E183" s="38"/>
      <c r="F183" s="38"/>
      <c r="G183" s="20" t="str">
        <f>G181</f>
        <v>LOW</v>
      </c>
      <c r="H183" s="38" t="s">
        <v>131</v>
      </c>
      <c r="I183" s="20" t="str">
        <f>I181</f>
        <v>Developer 2</v>
      </c>
      <c r="J183" s="20"/>
      <c r="K183" s="20" t="s">
        <v>133</v>
      </c>
      <c r="L183" s="20"/>
      <c r="M183" s="20"/>
      <c r="N183" s="27" t="s">
        <v>11</v>
      </c>
      <c r="O183" s="21">
        <f t="shared" si="36"/>
        <v>0</v>
      </c>
      <c r="P183" s="22">
        <f>Q182+1+2*INT((WEEKDAY(Q182,1)-1+1)/5)</f>
        <v>46415</v>
      </c>
      <c r="Q183" s="22">
        <f>P183+(Settings!$B$6)-1+2*INT((WEEKDAY(P183,1)-1+(Settings!$B$6)-1)/5)</f>
        <v>46421</v>
      </c>
      <c r="R183" s="28"/>
      <c r="S183" s="28"/>
      <c r="T183" s="20">
        <f t="shared" ca="1" si="29"/>
        <v>0</v>
      </c>
      <c r="U183" s="20" t="str">
        <f t="shared" ca="1" si="30"/>
        <v>Green</v>
      </c>
      <c r="V183" s="38" t="s">
        <v>130</v>
      </c>
      <c r="W183" s="39"/>
      <c r="X183" s="39"/>
      <c r="Y183" s="40">
        <v>46233.453472222223</v>
      </c>
      <c r="Z183" s="38" t="s">
        <v>132</v>
      </c>
    </row>
    <row r="184" spans="1:26" ht="21" customHeight="1">
      <c r="A184" s="38"/>
      <c r="B184" s="20"/>
      <c r="C184" s="20"/>
      <c r="D184" s="20" t="s">
        <v>109</v>
      </c>
      <c r="E184" s="38"/>
      <c r="F184" s="38"/>
      <c r="G184" s="20" t="str">
        <f>G181</f>
        <v>LOW</v>
      </c>
      <c r="H184" s="38" t="s">
        <v>131</v>
      </c>
      <c r="I184" s="20" t="str">
        <f>I181</f>
        <v>Developer 2</v>
      </c>
      <c r="J184" s="20"/>
      <c r="K184" s="20" t="s">
        <v>134</v>
      </c>
      <c r="L184" s="20"/>
      <c r="M184" s="23"/>
      <c r="N184" s="27" t="s">
        <v>11</v>
      </c>
      <c r="O184" s="21">
        <f t="shared" si="36"/>
        <v>0</v>
      </c>
      <c r="P184" s="22">
        <f>Q183+1+2*INT((WEEKDAY(Q183,1)-1+1)/5)</f>
        <v>46422</v>
      </c>
      <c r="Q184" s="22">
        <f>P184+(Settings!$B$7)-1+2*INT((WEEKDAY(P184,1)-1+(Settings!$B$7)-1)/5)</f>
        <v>46422</v>
      </c>
      <c r="R184" s="28"/>
      <c r="S184" s="28"/>
      <c r="T184" s="20">
        <f t="shared" ca="1" si="29"/>
        <v>0</v>
      </c>
      <c r="U184" s="20" t="str">
        <f t="shared" ca="1" si="30"/>
        <v>Green</v>
      </c>
      <c r="V184" s="38" t="s">
        <v>130</v>
      </c>
      <c r="W184" s="39"/>
      <c r="X184" s="39"/>
      <c r="Y184" s="40">
        <v>46233.453472222223</v>
      </c>
      <c r="Z184" s="38" t="s">
        <v>132</v>
      </c>
    </row>
    <row r="185" spans="1:26" ht="21" customHeight="1">
      <c r="A185" s="38"/>
      <c r="B185" s="20"/>
      <c r="C185" s="20"/>
      <c r="D185" s="20" t="s">
        <v>110</v>
      </c>
      <c r="E185" s="38"/>
      <c r="F185" s="38"/>
      <c r="G185" s="20" t="str">
        <f>G181</f>
        <v>LOW</v>
      </c>
      <c r="H185" s="38" t="s">
        <v>131</v>
      </c>
      <c r="I185" s="20" t="str">
        <f>I181</f>
        <v>Developer 2</v>
      </c>
      <c r="J185" s="20"/>
      <c r="K185" s="20" t="s">
        <v>135</v>
      </c>
      <c r="L185" s="20"/>
      <c r="M185" s="20"/>
      <c r="N185" s="27" t="s">
        <v>11</v>
      </c>
      <c r="O185" s="21">
        <f t="shared" si="36"/>
        <v>0</v>
      </c>
      <c r="P185" s="22">
        <f>Q184+1+2*INT((WEEKDAY(Q184,1)-1+1)/5)</f>
        <v>46425</v>
      </c>
      <c r="Q185" s="22">
        <f>P185+(IF(G185="LOW",Settings!$B$8,IF(G185="MEDIUM",Settings!$B$9,Settings!$B$10)))-1+2*INT((WEEKDAY(P185,1)-1+(IF(G185="LOW",Settings!$B$8,IF(G185="MEDIUM",Settings!$B$9,Settings!$B$10)))-1)/5)</f>
        <v>46436</v>
      </c>
      <c r="R185" s="28"/>
      <c r="S185" s="28"/>
      <c r="T185" s="20">
        <f t="shared" ca="1" si="29"/>
        <v>0</v>
      </c>
      <c r="U185" s="20" t="str">
        <f t="shared" ca="1" si="30"/>
        <v>Green</v>
      </c>
      <c r="V185" s="38" t="s">
        <v>130</v>
      </c>
      <c r="W185" s="39"/>
      <c r="X185" s="39"/>
      <c r="Y185" s="40">
        <v>46233.453472222223</v>
      </c>
      <c r="Z185" s="38" t="s">
        <v>132</v>
      </c>
    </row>
    <row r="186" spans="1:26" ht="21" customHeight="1">
      <c r="A186" s="38"/>
      <c r="B186" s="20"/>
      <c r="C186" s="20"/>
      <c r="D186" s="20" t="s">
        <v>111</v>
      </c>
      <c r="E186" s="38"/>
      <c r="F186" s="38"/>
      <c r="G186" s="20" t="str">
        <f>G181</f>
        <v>LOW</v>
      </c>
      <c r="H186" s="38" t="s">
        <v>131</v>
      </c>
      <c r="I186" s="20" t="str">
        <f>I181</f>
        <v>Developer 2</v>
      </c>
      <c r="J186" s="20"/>
      <c r="K186" s="20" t="s">
        <v>136</v>
      </c>
      <c r="L186" s="20"/>
      <c r="M186" s="20"/>
      <c r="N186" s="27" t="s">
        <v>11</v>
      </c>
      <c r="O186" s="21">
        <f t="shared" si="36"/>
        <v>0</v>
      </c>
      <c r="P186" s="22">
        <f>Q185+1+2*INT((WEEKDAY(Q185,1)-1+1)/5)</f>
        <v>46439</v>
      </c>
      <c r="Q186" s="22">
        <f>P186+(Settings!$B$11)-1+2*INT((WEEKDAY(P186,1)-1+(Settings!$B$11)-1)/5)</f>
        <v>46439</v>
      </c>
      <c r="R186" s="28"/>
      <c r="S186" s="28"/>
      <c r="T186" s="20">
        <f t="shared" ca="1" si="29"/>
        <v>0</v>
      </c>
      <c r="U186" s="20" t="str">
        <f t="shared" ca="1" si="30"/>
        <v>Green</v>
      </c>
      <c r="V186" s="38" t="s">
        <v>130</v>
      </c>
      <c r="W186" s="39"/>
      <c r="X186" s="39"/>
      <c r="Y186" s="40">
        <v>46233.453472222223</v>
      </c>
      <c r="Z186" s="38" t="s">
        <v>132</v>
      </c>
    </row>
    <row r="187" spans="1:26" ht="21" customHeight="1">
      <c r="A187" s="38"/>
      <c r="B187" s="20"/>
      <c r="C187" s="20"/>
      <c r="D187" s="20" t="s">
        <v>112</v>
      </c>
      <c r="E187" s="38"/>
      <c r="F187" s="38"/>
      <c r="G187" s="20" t="str">
        <f>G181</f>
        <v>LOW</v>
      </c>
      <c r="H187" s="38" t="s">
        <v>131</v>
      </c>
      <c r="I187" s="20" t="str">
        <f>I181</f>
        <v>Developer 2</v>
      </c>
      <c r="J187" s="20"/>
      <c r="K187" s="20" t="s">
        <v>135</v>
      </c>
      <c r="L187" s="20"/>
      <c r="M187" s="20"/>
      <c r="N187" s="27" t="s">
        <v>11</v>
      </c>
      <c r="O187" s="21">
        <f t="shared" si="36"/>
        <v>0</v>
      </c>
      <c r="P187" s="22">
        <f>Q186+1+2*INT((WEEKDAY(Q186,1)-1+1)/5)</f>
        <v>46440</v>
      </c>
      <c r="Q187" s="22">
        <f>P187+(Settings!$B$12)-1+2*INT((WEEKDAY(P187,1)-1+(Settings!$B$12)-1)/5)</f>
        <v>46440</v>
      </c>
      <c r="R187" s="28"/>
      <c r="S187" s="28"/>
      <c r="T187" s="20">
        <f t="shared" ca="1" si="29"/>
        <v>0</v>
      </c>
      <c r="U187" s="20" t="str">
        <f t="shared" ca="1" si="30"/>
        <v>Green</v>
      </c>
      <c r="V187" s="38" t="s">
        <v>130</v>
      </c>
      <c r="W187" s="39"/>
      <c r="X187" s="39"/>
      <c r="Y187" s="40">
        <v>46233.453472222223</v>
      </c>
      <c r="Z187" s="38" t="s">
        <v>132</v>
      </c>
    </row>
    <row r="188" spans="1:26" ht="21" customHeight="1">
      <c r="A188" s="17" t="s">
        <v>161</v>
      </c>
      <c r="B188" s="17" t="s">
        <v>48</v>
      </c>
      <c r="C188" s="17"/>
      <c r="D188" s="17" t="s">
        <v>10</v>
      </c>
      <c r="E188" s="35"/>
      <c r="F188" s="35"/>
      <c r="G188" s="17" t="str">
        <f>'Process Summary'!B29</f>
        <v>LOW</v>
      </c>
      <c r="H188" s="35" t="s">
        <v>131</v>
      </c>
      <c r="I188" s="17" t="str">
        <f>'Process Summary'!C29</f>
        <v>Developer 3</v>
      </c>
      <c r="J188" s="17"/>
      <c r="K188" s="17"/>
      <c r="L188" s="17"/>
      <c r="M188" s="17"/>
      <c r="N188" s="17" t="str">
        <f>IF(O188=100%,"Completed",IF(N189="On Hold","On Hold",IF(N190="On Hold","On Hold",IF(N191="On Hold","On Hold",IF(N192="On Hold","On Hold",IF(N193="On Hold","On Hold",IF(N194="On Hold","On Hold",IF(O188&gt;0%,"In Progress","Not Started"))))))))</f>
        <v>Not Started</v>
      </c>
      <c r="O188" s="18">
        <f>(O189*3+O190*5+O191+O192*IF(G188="LOW",13,IF(G188="MEDIUM",23,33))+O193*2+O194)/(12+IF(G188="LOW",13,IF(G188="MEDIUM",23,33)))</f>
        <v>0</v>
      </c>
      <c r="P188" s="19">
        <f>'Process Summary'!G29</f>
        <v>46405</v>
      </c>
      <c r="Q188" s="19">
        <f>Q194</f>
        <v>46433</v>
      </c>
      <c r="R188" s="19" t="str">
        <f>IF(COUNT(R189:R194)=0,"",MIN(R189:R194))</f>
        <v/>
      </c>
      <c r="S188" s="19" t="str">
        <f>IF(COUNT(S189:S194)=0,"",MAX(S189:S194))</f>
        <v/>
      </c>
      <c r="T188" s="17">
        <f t="shared" ca="1" si="29"/>
        <v>0</v>
      </c>
      <c r="U188" s="17" t="str">
        <f t="shared" ca="1" si="30"/>
        <v>Green</v>
      </c>
      <c r="V188" s="35" t="s">
        <v>130</v>
      </c>
      <c r="W188" s="36"/>
      <c r="X188" s="36"/>
      <c r="Y188" s="37">
        <v>46233.453472222223</v>
      </c>
      <c r="Z188" s="35" t="s">
        <v>132</v>
      </c>
    </row>
    <row r="189" spans="1:26" ht="21" customHeight="1">
      <c r="A189" s="38"/>
      <c r="B189" s="20"/>
      <c r="C189" s="20"/>
      <c r="D189" s="20" t="s">
        <v>107</v>
      </c>
      <c r="E189" s="38"/>
      <c r="F189" s="38"/>
      <c r="G189" s="20" t="str">
        <f>G188</f>
        <v>LOW</v>
      </c>
      <c r="H189" s="38" t="s">
        <v>131</v>
      </c>
      <c r="I189" s="20" t="str">
        <f>I188</f>
        <v>Developer 3</v>
      </c>
      <c r="J189" s="20"/>
      <c r="K189" s="20" t="s">
        <v>133</v>
      </c>
      <c r="L189" s="20"/>
      <c r="M189" s="20"/>
      <c r="N189" s="27" t="s">
        <v>11</v>
      </c>
      <c r="O189" s="21">
        <f t="shared" ref="O189:O194" si="37">IF(N189="Completed",100%,IF(OR(N189="In Progress",N189="On Hold"),50%,0%))</f>
        <v>0</v>
      </c>
      <c r="P189" s="22">
        <f>P188</f>
        <v>46405</v>
      </c>
      <c r="Q189" s="22">
        <f>P189+(Settings!$B$5)-1+2*INT((WEEKDAY(P189,1)-1+(Settings!$B$5)-1)/5)</f>
        <v>46407</v>
      </c>
      <c r="R189" s="28"/>
      <c r="S189" s="28"/>
      <c r="T189" s="20">
        <f t="shared" ca="1" si="29"/>
        <v>0</v>
      </c>
      <c r="U189" s="20" t="str">
        <f t="shared" ca="1" si="30"/>
        <v>Green</v>
      </c>
      <c r="V189" s="38" t="s">
        <v>130</v>
      </c>
      <c r="W189" s="39"/>
      <c r="X189" s="39"/>
      <c r="Y189" s="40">
        <v>46233.453472222223</v>
      </c>
      <c r="Z189" s="38" t="s">
        <v>132</v>
      </c>
    </row>
    <row r="190" spans="1:26" ht="21" customHeight="1">
      <c r="A190" s="38"/>
      <c r="B190" s="20"/>
      <c r="C190" s="20"/>
      <c r="D190" s="20" t="s">
        <v>108</v>
      </c>
      <c r="E190" s="38"/>
      <c r="F190" s="38"/>
      <c r="G190" s="20" t="str">
        <f>G188</f>
        <v>LOW</v>
      </c>
      <c r="H190" s="38" t="s">
        <v>131</v>
      </c>
      <c r="I190" s="20" t="str">
        <f>I188</f>
        <v>Developer 3</v>
      </c>
      <c r="J190" s="20"/>
      <c r="K190" s="20" t="s">
        <v>133</v>
      </c>
      <c r="L190" s="20"/>
      <c r="M190" s="20"/>
      <c r="N190" s="27" t="s">
        <v>11</v>
      </c>
      <c r="O190" s="21">
        <f t="shared" si="37"/>
        <v>0</v>
      </c>
      <c r="P190" s="22">
        <f>Q189+1+2*INT((WEEKDAY(Q189,1)-1+1)/5)</f>
        <v>46408</v>
      </c>
      <c r="Q190" s="22">
        <f>P190+(Settings!$B$6)-1+2*INT((WEEKDAY(P190,1)-1+(Settings!$B$6)-1)/5)</f>
        <v>46414</v>
      </c>
      <c r="R190" s="28"/>
      <c r="S190" s="28"/>
      <c r="T190" s="20">
        <f t="shared" ca="1" si="29"/>
        <v>0</v>
      </c>
      <c r="U190" s="20" t="str">
        <f t="shared" ca="1" si="30"/>
        <v>Green</v>
      </c>
      <c r="V190" s="38" t="s">
        <v>130</v>
      </c>
      <c r="W190" s="39"/>
      <c r="X190" s="39"/>
      <c r="Y190" s="40">
        <v>46233.453472222223</v>
      </c>
      <c r="Z190" s="38" t="s">
        <v>132</v>
      </c>
    </row>
    <row r="191" spans="1:26" ht="21" customHeight="1">
      <c r="A191" s="38"/>
      <c r="B191" s="20"/>
      <c r="C191" s="20"/>
      <c r="D191" s="20" t="s">
        <v>109</v>
      </c>
      <c r="E191" s="38"/>
      <c r="F191" s="38"/>
      <c r="G191" s="20" t="str">
        <f>G188</f>
        <v>LOW</v>
      </c>
      <c r="H191" s="38" t="s">
        <v>131</v>
      </c>
      <c r="I191" s="20" t="str">
        <f>I188</f>
        <v>Developer 3</v>
      </c>
      <c r="J191" s="20"/>
      <c r="K191" s="20" t="s">
        <v>134</v>
      </c>
      <c r="L191" s="20"/>
      <c r="M191" s="23"/>
      <c r="N191" s="27" t="s">
        <v>11</v>
      </c>
      <c r="O191" s="21">
        <f t="shared" si="37"/>
        <v>0</v>
      </c>
      <c r="P191" s="22">
        <f>Q190+1+2*INT((WEEKDAY(Q190,1)-1+1)/5)</f>
        <v>46415</v>
      </c>
      <c r="Q191" s="22">
        <f>P191+(Settings!$B$7)-1+2*INT((WEEKDAY(P191,1)-1+(Settings!$B$7)-1)/5)</f>
        <v>46415</v>
      </c>
      <c r="R191" s="28"/>
      <c r="S191" s="28"/>
      <c r="T191" s="20">
        <f t="shared" ca="1" si="29"/>
        <v>0</v>
      </c>
      <c r="U191" s="20" t="str">
        <f t="shared" ca="1" si="30"/>
        <v>Green</v>
      </c>
      <c r="V191" s="38" t="s">
        <v>130</v>
      </c>
      <c r="W191" s="39"/>
      <c r="X191" s="39"/>
      <c r="Y191" s="40">
        <v>46233.453472222223</v>
      </c>
      <c r="Z191" s="38" t="s">
        <v>132</v>
      </c>
    </row>
    <row r="192" spans="1:26" ht="21" customHeight="1">
      <c r="A192" s="38"/>
      <c r="B192" s="20"/>
      <c r="C192" s="20"/>
      <c r="D192" s="20" t="s">
        <v>110</v>
      </c>
      <c r="E192" s="38"/>
      <c r="F192" s="38"/>
      <c r="G192" s="20" t="str">
        <f>G188</f>
        <v>LOW</v>
      </c>
      <c r="H192" s="38" t="s">
        <v>131</v>
      </c>
      <c r="I192" s="20" t="str">
        <f>I188</f>
        <v>Developer 3</v>
      </c>
      <c r="J192" s="20"/>
      <c r="K192" s="20" t="s">
        <v>135</v>
      </c>
      <c r="L192" s="20"/>
      <c r="M192" s="20"/>
      <c r="N192" s="27" t="s">
        <v>11</v>
      </c>
      <c r="O192" s="21">
        <f t="shared" si="37"/>
        <v>0</v>
      </c>
      <c r="P192" s="22">
        <f>Q191+1+2*INT((WEEKDAY(Q191,1)-1+1)/5)</f>
        <v>46418</v>
      </c>
      <c r="Q192" s="22">
        <f>P192+(IF(G192="LOW",Settings!$B$8,IF(G192="MEDIUM",Settings!$B$9,Settings!$B$10)))-1+2*INT((WEEKDAY(P192,1)-1+(IF(G192="LOW",Settings!$B$8,IF(G192="MEDIUM",Settings!$B$9,Settings!$B$10)))-1)/5)</f>
        <v>46429</v>
      </c>
      <c r="R192" s="28"/>
      <c r="S192" s="28"/>
      <c r="T192" s="20">
        <f t="shared" ca="1" si="29"/>
        <v>0</v>
      </c>
      <c r="U192" s="20" t="str">
        <f t="shared" ca="1" si="30"/>
        <v>Green</v>
      </c>
      <c r="V192" s="38" t="s">
        <v>130</v>
      </c>
      <c r="W192" s="39"/>
      <c r="X192" s="39"/>
      <c r="Y192" s="40">
        <v>46233.453472222223</v>
      </c>
      <c r="Z192" s="38" t="s">
        <v>132</v>
      </c>
    </row>
    <row r="193" spans="1:26" ht="21" customHeight="1">
      <c r="A193" s="38"/>
      <c r="B193" s="20"/>
      <c r="C193" s="20"/>
      <c r="D193" s="20" t="s">
        <v>111</v>
      </c>
      <c r="E193" s="38"/>
      <c r="F193" s="38"/>
      <c r="G193" s="20" t="str">
        <f>G188</f>
        <v>LOW</v>
      </c>
      <c r="H193" s="38" t="s">
        <v>131</v>
      </c>
      <c r="I193" s="20" t="str">
        <f>I188</f>
        <v>Developer 3</v>
      </c>
      <c r="J193" s="20"/>
      <c r="K193" s="20" t="s">
        <v>136</v>
      </c>
      <c r="L193" s="20"/>
      <c r="M193" s="20"/>
      <c r="N193" s="27" t="s">
        <v>11</v>
      </c>
      <c r="O193" s="21">
        <f t="shared" si="37"/>
        <v>0</v>
      </c>
      <c r="P193" s="22">
        <f>Q192+1+2*INT((WEEKDAY(Q192,1)-1+1)/5)</f>
        <v>46432</v>
      </c>
      <c r="Q193" s="22">
        <f>P193+(Settings!$B$11)-1+2*INT((WEEKDAY(P193,1)-1+(Settings!$B$11)-1)/5)</f>
        <v>46432</v>
      </c>
      <c r="R193" s="28"/>
      <c r="S193" s="28"/>
      <c r="T193" s="20">
        <f t="shared" ca="1" si="29"/>
        <v>0</v>
      </c>
      <c r="U193" s="20" t="str">
        <f t="shared" ca="1" si="30"/>
        <v>Green</v>
      </c>
      <c r="V193" s="38" t="s">
        <v>130</v>
      </c>
      <c r="W193" s="39"/>
      <c r="X193" s="39"/>
      <c r="Y193" s="40">
        <v>46233.453472222223</v>
      </c>
      <c r="Z193" s="38" t="s">
        <v>132</v>
      </c>
    </row>
    <row r="194" spans="1:26" ht="21" customHeight="1">
      <c r="A194" s="38"/>
      <c r="B194" s="20"/>
      <c r="C194" s="20"/>
      <c r="D194" s="20" t="s">
        <v>112</v>
      </c>
      <c r="E194" s="38"/>
      <c r="F194" s="38"/>
      <c r="G194" s="20" t="str">
        <f>G188</f>
        <v>LOW</v>
      </c>
      <c r="H194" s="38" t="s">
        <v>131</v>
      </c>
      <c r="I194" s="20" t="str">
        <f>I188</f>
        <v>Developer 3</v>
      </c>
      <c r="J194" s="20"/>
      <c r="K194" s="20" t="s">
        <v>135</v>
      </c>
      <c r="L194" s="20"/>
      <c r="M194" s="20"/>
      <c r="N194" s="27" t="s">
        <v>11</v>
      </c>
      <c r="O194" s="21">
        <f t="shared" si="37"/>
        <v>0</v>
      </c>
      <c r="P194" s="22">
        <f>Q193+1+2*INT((WEEKDAY(Q193,1)-1+1)/5)</f>
        <v>46433</v>
      </c>
      <c r="Q194" s="22">
        <f>P194+(Settings!$B$12)-1+2*INT((WEEKDAY(P194,1)-1+(Settings!$B$12)-1)/5)</f>
        <v>46433</v>
      </c>
      <c r="R194" s="28"/>
      <c r="S194" s="28"/>
      <c r="T194" s="20">
        <f t="shared" ca="1" si="29"/>
        <v>0</v>
      </c>
      <c r="U194" s="20" t="str">
        <f t="shared" ca="1" si="30"/>
        <v>Green</v>
      </c>
      <c r="V194" s="38" t="s">
        <v>130</v>
      </c>
      <c r="W194" s="39"/>
      <c r="X194" s="39"/>
      <c r="Y194" s="40">
        <v>46233.453472222223</v>
      </c>
      <c r="Z194" s="38" t="s">
        <v>132</v>
      </c>
    </row>
    <row r="195" spans="1:26" ht="21" customHeight="1">
      <c r="A195" s="17" t="s">
        <v>162</v>
      </c>
      <c r="B195" s="17" t="s">
        <v>48</v>
      </c>
      <c r="C195" s="17"/>
      <c r="D195" s="17" t="s">
        <v>10</v>
      </c>
      <c r="E195" s="35"/>
      <c r="F195" s="35"/>
      <c r="G195" s="17" t="str">
        <f>'Process Summary'!B30</f>
        <v>LOW</v>
      </c>
      <c r="H195" s="35" t="s">
        <v>131</v>
      </c>
      <c r="I195" s="17" t="str">
        <f>'Process Summary'!C30</f>
        <v>Developer 4</v>
      </c>
      <c r="J195" s="17"/>
      <c r="K195" s="17"/>
      <c r="L195" s="17"/>
      <c r="M195" s="17"/>
      <c r="N195" s="17" t="str">
        <f>IF(O195=100%,"Completed",IF(N196="On Hold","On Hold",IF(N197="On Hold","On Hold",IF(N198="On Hold","On Hold",IF(N199="On Hold","On Hold",IF(N200="On Hold","On Hold",IF(N201="On Hold","On Hold",IF(O195&gt;0%,"In Progress","Not Started"))))))))</f>
        <v>Not Started</v>
      </c>
      <c r="O195" s="18">
        <f>(O196*3+O197*5+O198+O199*IF(G195="LOW",13,IF(G195="MEDIUM",23,33))+O200*2+O201)/(12+IF(G195="LOW",13,IF(G195="MEDIUM",23,33)))</f>
        <v>0</v>
      </c>
      <c r="P195" s="19">
        <f>'Process Summary'!G30</f>
        <v>46405</v>
      </c>
      <c r="Q195" s="19">
        <f>Q201</f>
        <v>46433</v>
      </c>
      <c r="R195" s="19" t="str">
        <f>IF(COUNT(R196:R201)=0,"",MIN(R196:R201))</f>
        <v/>
      </c>
      <c r="S195" s="19" t="str">
        <f>IF(COUNT(S196:S201)=0,"",MAX(S196:S201))</f>
        <v/>
      </c>
      <c r="T195" s="17">
        <f t="shared" ca="1" si="29"/>
        <v>0</v>
      </c>
      <c r="U195" s="17" t="str">
        <f t="shared" ca="1" si="30"/>
        <v>Green</v>
      </c>
      <c r="V195" s="35" t="s">
        <v>130</v>
      </c>
      <c r="W195" s="36"/>
      <c r="X195" s="36"/>
      <c r="Y195" s="37">
        <v>46233.453472222223</v>
      </c>
      <c r="Z195" s="35" t="s">
        <v>132</v>
      </c>
    </row>
    <row r="196" spans="1:26" ht="21" customHeight="1">
      <c r="A196" s="38"/>
      <c r="B196" s="20"/>
      <c r="C196" s="20"/>
      <c r="D196" s="20" t="s">
        <v>107</v>
      </c>
      <c r="E196" s="38"/>
      <c r="F196" s="38"/>
      <c r="G196" s="20" t="str">
        <f>G195</f>
        <v>LOW</v>
      </c>
      <c r="H196" s="38" t="s">
        <v>131</v>
      </c>
      <c r="I196" s="20" t="str">
        <f>I195</f>
        <v>Developer 4</v>
      </c>
      <c r="J196" s="20"/>
      <c r="K196" s="20" t="s">
        <v>133</v>
      </c>
      <c r="L196" s="20"/>
      <c r="M196" s="20"/>
      <c r="N196" s="27" t="s">
        <v>11</v>
      </c>
      <c r="O196" s="21">
        <f t="shared" ref="O196:O201" si="38">IF(N196="Completed",100%,IF(OR(N196="In Progress",N196="On Hold"),50%,0%))</f>
        <v>0</v>
      </c>
      <c r="P196" s="22">
        <f>P195</f>
        <v>46405</v>
      </c>
      <c r="Q196" s="22">
        <f>P196+(Settings!$B$5)-1+2*INT((WEEKDAY(P196,1)-1+(Settings!$B$5)-1)/5)</f>
        <v>46407</v>
      </c>
      <c r="R196" s="28"/>
      <c r="S196" s="28"/>
      <c r="T196" s="20">
        <f t="shared" ca="1" si="29"/>
        <v>0</v>
      </c>
      <c r="U196" s="20" t="str">
        <f t="shared" ca="1" si="30"/>
        <v>Green</v>
      </c>
      <c r="V196" s="38" t="s">
        <v>130</v>
      </c>
      <c r="W196" s="39"/>
      <c r="X196" s="39"/>
      <c r="Y196" s="40">
        <v>46233.453472222223</v>
      </c>
      <c r="Z196" s="38" t="s">
        <v>132</v>
      </c>
    </row>
    <row r="197" spans="1:26" ht="21" customHeight="1">
      <c r="A197" s="38"/>
      <c r="B197" s="20"/>
      <c r="C197" s="20"/>
      <c r="D197" s="20" t="s">
        <v>108</v>
      </c>
      <c r="E197" s="38"/>
      <c r="F197" s="38"/>
      <c r="G197" s="20" t="str">
        <f>G195</f>
        <v>LOW</v>
      </c>
      <c r="H197" s="38" t="s">
        <v>131</v>
      </c>
      <c r="I197" s="20" t="str">
        <f>I195</f>
        <v>Developer 4</v>
      </c>
      <c r="J197" s="20"/>
      <c r="K197" s="20" t="s">
        <v>133</v>
      </c>
      <c r="L197" s="20"/>
      <c r="M197" s="20"/>
      <c r="N197" s="27" t="s">
        <v>11</v>
      </c>
      <c r="O197" s="21">
        <f t="shared" si="38"/>
        <v>0</v>
      </c>
      <c r="P197" s="22">
        <f>Q196+1+2*INT((WEEKDAY(Q196,1)-1+1)/5)</f>
        <v>46408</v>
      </c>
      <c r="Q197" s="22">
        <f>P197+(Settings!$B$6)-1+2*INT((WEEKDAY(P197,1)-1+(Settings!$B$6)-1)/5)</f>
        <v>46414</v>
      </c>
      <c r="R197" s="28"/>
      <c r="S197" s="28"/>
      <c r="T197" s="20">
        <f t="shared" ca="1" si="29"/>
        <v>0</v>
      </c>
      <c r="U197" s="20" t="str">
        <f t="shared" ca="1" si="30"/>
        <v>Green</v>
      </c>
      <c r="V197" s="38" t="s">
        <v>130</v>
      </c>
      <c r="W197" s="39"/>
      <c r="X197" s="39"/>
      <c r="Y197" s="40">
        <v>46233.453472222223</v>
      </c>
      <c r="Z197" s="38" t="s">
        <v>132</v>
      </c>
    </row>
    <row r="198" spans="1:26" ht="21" customHeight="1">
      <c r="A198" s="38"/>
      <c r="B198" s="20"/>
      <c r="C198" s="20"/>
      <c r="D198" s="20" t="s">
        <v>109</v>
      </c>
      <c r="E198" s="38"/>
      <c r="F198" s="38"/>
      <c r="G198" s="20" t="str">
        <f>G195</f>
        <v>LOW</v>
      </c>
      <c r="H198" s="38" t="s">
        <v>131</v>
      </c>
      <c r="I198" s="20" t="str">
        <f>I195</f>
        <v>Developer 4</v>
      </c>
      <c r="J198" s="20"/>
      <c r="K198" s="20" t="s">
        <v>134</v>
      </c>
      <c r="L198" s="20"/>
      <c r="M198" s="23"/>
      <c r="N198" s="27" t="s">
        <v>11</v>
      </c>
      <c r="O198" s="21">
        <f t="shared" si="38"/>
        <v>0</v>
      </c>
      <c r="P198" s="22">
        <f>Q197+1+2*INT((WEEKDAY(Q197,1)-1+1)/5)</f>
        <v>46415</v>
      </c>
      <c r="Q198" s="22">
        <f>P198+(Settings!$B$7)-1+2*INT((WEEKDAY(P198,1)-1+(Settings!$B$7)-1)/5)</f>
        <v>46415</v>
      </c>
      <c r="R198" s="28"/>
      <c r="S198" s="28"/>
      <c r="T198" s="20">
        <f t="shared" ca="1" si="29"/>
        <v>0</v>
      </c>
      <c r="U198" s="20" t="str">
        <f t="shared" ca="1" si="30"/>
        <v>Green</v>
      </c>
      <c r="V198" s="38" t="s">
        <v>130</v>
      </c>
      <c r="W198" s="39"/>
      <c r="X198" s="39"/>
      <c r="Y198" s="40">
        <v>46233.453472222223</v>
      </c>
      <c r="Z198" s="38" t="s">
        <v>132</v>
      </c>
    </row>
    <row r="199" spans="1:26" ht="21" customHeight="1">
      <c r="A199" s="38"/>
      <c r="B199" s="20"/>
      <c r="C199" s="20"/>
      <c r="D199" s="20" t="s">
        <v>110</v>
      </c>
      <c r="E199" s="38"/>
      <c r="F199" s="38"/>
      <c r="G199" s="20" t="str">
        <f>G195</f>
        <v>LOW</v>
      </c>
      <c r="H199" s="38" t="s">
        <v>131</v>
      </c>
      <c r="I199" s="20" t="str">
        <f>I195</f>
        <v>Developer 4</v>
      </c>
      <c r="J199" s="20"/>
      <c r="K199" s="20" t="s">
        <v>135</v>
      </c>
      <c r="L199" s="20"/>
      <c r="M199" s="20"/>
      <c r="N199" s="27" t="s">
        <v>11</v>
      </c>
      <c r="O199" s="21">
        <f t="shared" si="38"/>
        <v>0</v>
      </c>
      <c r="P199" s="22">
        <f>Q198+1+2*INT((WEEKDAY(Q198,1)-1+1)/5)</f>
        <v>46418</v>
      </c>
      <c r="Q199" s="22">
        <f>P199+(IF(G199="LOW",Settings!$B$8,IF(G199="MEDIUM",Settings!$B$9,Settings!$B$10)))-1+2*INT((WEEKDAY(P199,1)-1+(IF(G199="LOW",Settings!$B$8,IF(G199="MEDIUM",Settings!$B$9,Settings!$B$10)))-1)/5)</f>
        <v>46429</v>
      </c>
      <c r="R199" s="28"/>
      <c r="S199" s="28"/>
      <c r="T199" s="20">
        <f t="shared" ca="1" si="29"/>
        <v>0</v>
      </c>
      <c r="U199" s="20" t="str">
        <f t="shared" ca="1" si="30"/>
        <v>Green</v>
      </c>
      <c r="V199" s="38" t="s">
        <v>130</v>
      </c>
      <c r="W199" s="39"/>
      <c r="X199" s="39"/>
      <c r="Y199" s="40">
        <v>46233.453472222223</v>
      </c>
      <c r="Z199" s="38" t="s">
        <v>132</v>
      </c>
    </row>
    <row r="200" spans="1:26" ht="21" customHeight="1">
      <c r="A200" s="38"/>
      <c r="B200" s="20"/>
      <c r="C200" s="20"/>
      <c r="D200" s="20" t="s">
        <v>111</v>
      </c>
      <c r="E200" s="38"/>
      <c r="F200" s="38"/>
      <c r="G200" s="20" t="str">
        <f>G195</f>
        <v>LOW</v>
      </c>
      <c r="H200" s="38" t="s">
        <v>131</v>
      </c>
      <c r="I200" s="20" t="str">
        <f>I195</f>
        <v>Developer 4</v>
      </c>
      <c r="J200" s="20"/>
      <c r="K200" s="20" t="s">
        <v>136</v>
      </c>
      <c r="L200" s="20"/>
      <c r="M200" s="20"/>
      <c r="N200" s="27" t="s">
        <v>11</v>
      </c>
      <c r="O200" s="21">
        <f t="shared" si="38"/>
        <v>0</v>
      </c>
      <c r="P200" s="22">
        <f>Q199+1+2*INT((WEEKDAY(Q199,1)-1+1)/5)</f>
        <v>46432</v>
      </c>
      <c r="Q200" s="22">
        <f>P200+(Settings!$B$11)-1+2*INT((WEEKDAY(P200,1)-1+(Settings!$B$11)-1)/5)</f>
        <v>46432</v>
      </c>
      <c r="R200" s="28"/>
      <c r="S200" s="28"/>
      <c r="T200" s="20">
        <f t="shared" ca="1" si="29"/>
        <v>0</v>
      </c>
      <c r="U200" s="20" t="str">
        <f t="shared" ca="1" si="30"/>
        <v>Green</v>
      </c>
      <c r="V200" s="38" t="s">
        <v>130</v>
      </c>
      <c r="W200" s="39"/>
      <c r="X200" s="39"/>
      <c r="Y200" s="40">
        <v>46233.453472222223</v>
      </c>
      <c r="Z200" s="38" t="s">
        <v>132</v>
      </c>
    </row>
    <row r="201" spans="1:26" ht="21" customHeight="1">
      <c r="A201" s="38"/>
      <c r="B201" s="20"/>
      <c r="C201" s="20"/>
      <c r="D201" s="20" t="s">
        <v>112</v>
      </c>
      <c r="E201" s="38"/>
      <c r="F201" s="38"/>
      <c r="G201" s="20" t="str">
        <f>G195</f>
        <v>LOW</v>
      </c>
      <c r="H201" s="38" t="s">
        <v>131</v>
      </c>
      <c r="I201" s="20" t="str">
        <f>I195</f>
        <v>Developer 4</v>
      </c>
      <c r="J201" s="20"/>
      <c r="K201" s="20" t="s">
        <v>135</v>
      </c>
      <c r="L201" s="20"/>
      <c r="M201" s="20"/>
      <c r="N201" s="27" t="s">
        <v>11</v>
      </c>
      <c r="O201" s="21">
        <f t="shared" si="38"/>
        <v>0</v>
      </c>
      <c r="P201" s="22">
        <f>Q200+1+2*INT((WEEKDAY(Q200,1)-1+1)/5)</f>
        <v>46433</v>
      </c>
      <c r="Q201" s="22">
        <f>P201+(Settings!$B$12)-1+2*INT((WEEKDAY(P201,1)-1+(Settings!$B$12)-1)/5)</f>
        <v>46433</v>
      </c>
      <c r="R201" s="28"/>
      <c r="S201" s="28"/>
      <c r="T201" s="20">
        <f t="shared" ca="1" si="29"/>
        <v>0</v>
      </c>
      <c r="U201" s="20" t="str">
        <f t="shared" ca="1" si="30"/>
        <v>Green</v>
      </c>
      <c r="V201" s="38" t="s">
        <v>130</v>
      </c>
      <c r="W201" s="39"/>
      <c r="X201" s="39"/>
      <c r="Y201" s="40">
        <v>46233.453472222223</v>
      </c>
      <c r="Z201" s="38" t="s">
        <v>132</v>
      </c>
    </row>
    <row r="202" spans="1:26" ht="21" customHeight="1">
      <c r="A202" s="17" t="s">
        <v>163</v>
      </c>
      <c r="B202" s="17" t="s">
        <v>48</v>
      </c>
      <c r="C202" s="17"/>
      <c r="D202" s="17" t="s">
        <v>10</v>
      </c>
      <c r="E202" s="35"/>
      <c r="F202" s="35"/>
      <c r="G202" s="17" t="str">
        <f>'Process Summary'!B31</f>
        <v>LOW</v>
      </c>
      <c r="H202" s="35" t="s">
        <v>131</v>
      </c>
      <c r="I202" s="17" t="str">
        <f>'Process Summary'!C31</f>
        <v>Developer 1</v>
      </c>
      <c r="J202" s="17"/>
      <c r="K202" s="17"/>
      <c r="L202" s="17"/>
      <c r="M202" s="17"/>
      <c r="N202" s="17" t="str">
        <f>IF(O202=100%,"Completed",IF(N203="On Hold","On Hold",IF(N204="On Hold","On Hold",IF(N205="On Hold","On Hold",IF(N206="On Hold","On Hold",IF(N207="On Hold","On Hold",IF(N208="On Hold","On Hold",IF(O202&gt;0%,"In Progress","Not Started"))))))))</f>
        <v>Not Started</v>
      </c>
      <c r="O202" s="18">
        <f>(O203*3+O204*5+O205+O206*IF(G202="LOW",13,IF(G202="MEDIUM",23,33))+O207*2+O208)/(12+IF(G202="LOW",13,IF(G202="MEDIUM",23,33)))</f>
        <v>0</v>
      </c>
      <c r="P202" s="19">
        <f>'Process Summary'!G31</f>
        <v>46405</v>
      </c>
      <c r="Q202" s="19">
        <f>Q208</f>
        <v>46433</v>
      </c>
      <c r="R202" s="19" t="str">
        <f>IF(COUNT(R203:R208)=0,"",MIN(R203:R208))</f>
        <v/>
      </c>
      <c r="S202" s="19" t="str">
        <f>IF(COUNT(S203:S208)=0,"",MAX(S203:S208))</f>
        <v/>
      </c>
      <c r="T202" s="17">
        <f t="shared" ca="1" si="29"/>
        <v>0</v>
      </c>
      <c r="U202" s="17" t="str">
        <f t="shared" ca="1" si="30"/>
        <v>Green</v>
      </c>
      <c r="V202" s="35" t="s">
        <v>130</v>
      </c>
      <c r="W202" s="36"/>
      <c r="X202" s="36"/>
      <c r="Y202" s="37">
        <v>46233.453472222223</v>
      </c>
      <c r="Z202" s="35" t="s">
        <v>132</v>
      </c>
    </row>
    <row r="203" spans="1:26" ht="21" customHeight="1">
      <c r="A203" s="38"/>
      <c r="B203" s="20"/>
      <c r="C203" s="20"/>
      <c r="D203" s="20" t="s">
        <v>107</v>
      </c>
      <c r="E203" s="38"/>
      <c r="F203" s="38"/>
      <c r="G203" s="20" t="str">
        <f>G202</f>
        <v>LOW</v>
      </c>
      <c r="H203" s="38" t="s">
        <v>131</v>
      </c>
      <c r="I203" s="20" t="str">
        <f>I202</f>
        <v>Developer 1</v>
      </c>
      <c r="J203" s="20"/>
      <c r="K203" s="20" t="s">
        <v>133</v>
      </c>
      <c r="L203" s="20"/>
      <c r="M203" s="20"/>
      <c r="N203" s="27" t="s">
        <v>11</v>
      </c>
      <c r="O203" s="21">
        <f t="shared" ref="O203:O208" si="39">IF(N203="Completed",100%,IF(OR(N203="In Progress",N203="On Hold"),50%,0%))</f>
        <v>0</v>
      </c>
      <c r="P203" s="22">
        <f>P202</f>
        <v>46405</v>
      </c>
      <c r="Q203" s="22">
        <f>P203+(Settings!$B$5)-1+2*INT((WEEKDAY(P203,1)-1+(Settings!$B$5)-1)/5)</f>
        <v>46407</v>
      </c>
      <c r="R203" s="28"/>
      <c r="S203" s="28"/>
      <c r="T203" s="20">
        <f t="shared" ca="1" si="29"/>
        <v>0</v>
      </c>
      <c r="U203" s="20" t="str">
        <f t="shared" ca="1" si="30"/>
        <v>Green</v>
      </c>
      <c r="V203" s="38" t="s">
        <v>130</v>
      </c>
      <c r="W203" s="39"/>
      <c r="X203" s="39"/>
      <c r="Y203" s="40">
        <v>46233.453472222223</v>
      </c>
      <c r="Z203" s="38" t="s">
        <v>132</v>
      </c>
    </row>
    <row r="204" spans="1:26" ht="21" customHeight="1">
      <c r="A204" s="38"/>
      <c r="B204" s="20"/>
      <c r="C204" s="20"/>
      <c r="D204" s="20" t="s">
        <v>108</v>
      </c>
      <c r="E204" s="38"/>
      <c r="F204" s="38"/>
      <c r="G204" s="20" t="str">
        <f>G202</f>
        <v>LOW</v>
      </c>
      <c r="H204" s="38" t="s">
        <v>131</v>
      </c>
      <c r="I204" s="20" t="str">
        <f>I202</f>
        <v>Developer 1</v>
      </c>
      <c r="J204" s="20"/>
      <c r="K204" s="20" t="s">
        <v>133</v>
      </c>
      <c r="L204" s="20"/>
      <c r="M204" s="20"/>
      <c r="N204" s="27" t="s">
        <v>11</v>
      </c>
      <c r="O204" s="21">
        <f t="shared" si="39"/>
        <v>0</v>
      </c>
      <c r="P204" s="22">
        <f>Q203+1+2*INT((WEEKDAY(Q203,1)-1+1)/5)</f>
        <v>46408</v>
      </c>
      <c r="Q204" s="22">
        <f>P204+(Settings!$B$6)-1+2*INT((WEEKDAY(P204,1)-1+(Settings!$B$6)-1)/5)</f>
        <v>46414</v>
      </c>
      <c r="R204" s="28"/>
      <c r="S204" s="28"/>
      <c r="T204" s="20">
        <f t="shared" ca="1" si="29"/>
        <v>0</v>
      </c>
      <c r="U204" s="20" t="str">
        <f t="shared" ca="1" si="30"/>
        <v>Green</v>
      </c>
      <c r="V204" s="38" t="s">
        <v>130</v>
      </c>
      <c r="W204" s="39"/>
      <c r="X204" s="39"/>
      <c r="Y204" s="40">
        <v>46233.453472222223</v>
      </c>
      <c r="Z204" s="38" t="s">
        <v>132</v>
      </c>
    </row>
    <row r="205" spans="1:26" ht="21" customHeight="1">
      <c r="A205" s="38"/>
      <c r="B205" s="20"/>
      <c r="C205" s="20"/>
      <c r="D205" s="20" t="s">
        <v>109</v>
      </c>
      <c r="E205" s="38"/>
      <c r="F205" s="38"/>
      <c r="G205" s="20" t="str">
        <f>G202</f>
        <v>LOW</v>
      </c>
      <c r="H205" s="38" t="s">
        <v>131</v>
      </c>
      <c r="I205" s="20" t="str">
        <f>I202</f>
        <v>Developer 1</v>
      </c>
      <c r="J205" s="20"/>
      <c r="K205" s="20" t="s">
        <v>134</v>
      </c>
      <c r="L205" s="20"/>
      <c r="M205" s="23"/>
      <c r="N205" s="27" t="s">
        <v>11</v>
      </c>
      <c r="O205" s="21">
        <f t="shared" si="39"/>
        <v>0</v>
      </c>
      <c r="P205" s="22">
        <f>Q204+1+2*INT((WEEKDAY(Q204,1)-1+1)/5)</f>
        <v>46415</v>
      </c>
      <c r="Q205" s="22">
        <f>P205+(Settings!$B$7)-1+2*INT((WEEKDAY(P205,1)-1+(Settings!$B$7)-1)/5)</f>
        <v>46415</v>
      </c>
      <c r="R205" s="28"/>
      <c r="S205" s="28"/>
      <c r="T205" s="20">
        <f t="shared" ref="T205:T222" ca="1" si="40">IF(N205="Cancelled","",IF(S205&lt;&gt;"",S205-Q205,IF(AND(N205&lt;&gt;"Completed",TODAY()&gt;Q205),TODAY()-Q205,0)))</f>
        <v>0</v>
      </c>
      <c r="U205" s="20" t="str">
        <f t="shared" ref="U205:U222" ca="1" si="41">IF(N205="Cancelled","Gray",IF(N205="On Hold","Red",IF(N205="Completed",IF(T205&gt;5,"Red",IF(T205&gt;0,"Amber","Green")),IF(T205&gt;5,"Red",IF(T205&gt;0,"Amber","Green")))))</f>
        <v>Green</v>
      </c>
      <c r="V205" s="38" t="s">
        <v>130</v>
      </c>
      <c r="W205" s="39"/>
      <c r="X205" s="39"/>
      <c r="Y205" s="40">
        <v>46233.453472222223</v>
      </c>
      <c r="Z205" s="38" t="s">
        <v>132</v>
      </c>
    </row>
    <row r="206" spans="1:26" ht="21" customHeight="1">
      <c r="A206" s="38"/>
      <c r="B206" s="20"/>
      <c r="C206" s="20"/>
      <c r="D206" s="20" t="s">
        <v>110</v>
      </c>
      <c r="E206" s="38"/>
      <c r="F206" s="38"/>
      <c r="G206" s="20" t="str">
        <f>G202</f>
        <v>LOW</v>
      </c>
      <c r="H206" s="38" t="s">
        <v>131</v>
      </c>
      <c r="I206" s="20" t="str">
        <f>I202</f>
        <v>Developer 1</v>
      </c>
      <c r="J206" s="20"/>
      <c r="K206" s="20" t="s">
        <v>135</v>
      </c>
      <c r="L206" s="20"/>
      <c r="M206" s="20"/>
      <c r="N206" s="27" t="s">
        <v>11</v>
      </c>
      <c r="O206" s="21">
        <f t="shared" si="39"/>
        <v>0</v>
      </c>
      <c r="P206" s="22">
        <f>Q205+1+2*INT((WEEKDAY(Q205,1)-1+1)/5)</f>
        <v>46418</v>
      </c>
      <c r="Q206" s="22">
        <f>P206+(IF(G206="LOW",Settings!$B$8,IF(G206="MEDIUM",Settings!$B$9,Settings!$B$10)))-1+2*INT((WEEKDAY(P206,1)-1+(IF(G206="LOW",Settings!$B$8,IF(G206="MEDIUM",Settings!$B$9,Settings!$B$10)))-1)/5)</f>
        <v>46429</v>
      </c>
      <c r="R206" s="28"/>
      <c r="S206" s="28"/>
      <c r="T206" s="20">
        <f t="shared" ca="1" si="40"/>
        <v>0</v>
      </c>
      <c r="U206" s="20" t="str">
        <f t="shared" ca="1" si="41"/>
        <v>Green</v>
      </c>
      <c r="V206" s="38" t="s">
        <v>130</v>
      </c>
      <c r="W206" s="39"/>
      <c r="X206" s="39"/>
      <c r="Y206" s="40">
        <v>46233.453472222223</v>
      </c>
      <c r="Z206" s="38" t="s">
        <v>132</v>
      </c>
    </row>
    <row r="207" spans="1:26" ht="21" customHeight="1">
      <c r="A207" s="38"/>
      <c r="B207" s="20"/>
      <c r="C207" s="20"/>
      <c r="D207" s="20" t="s">
        <v>111</v>
      </c>
      <c r="E207" s="38"/>
      <c r="F207" s="38"/>
      <c r="G207" s="20" t="str">
        <f>G202</f>
        <v>LOW</v>
      </c>
      <c r="H207" s="38" t="s">
        <v>131</v>
      </c>
      <c r="I207" s="20" t="str">
        <f>I202</f>
        <v>Developer 1</v>
      </c>
      <c r="J207" s="20"/>
      <c r="K207" s="20" t="s">
        <v>136</v>
      </c>
      <c r="L207" s="20"/>
      <c r="M207" s="20"/>
      <c r="N207" s="27" t="s">
        <v>11</v>
      </c>
      <c r="O207" s="21">
        <f t="shared" si="39"/>
        <v>0</v>
      </c>
      <c r="P207" s="22">
        <f>Q206+1+2*INT((WEEKDAY(Q206,1)-1+1)/5)</f>
        <v>46432</v>
      </c>
      <c r="Q207" s="22">
        <f>P207+(Settings!$B$11)-1+2*INT((WEEKDAY(P207,1)-1+(Settings!$B$11)-1)/5)</f>
        <v>46432</v>
      </c>
      <c r="R207" s="28"/>
      <c r="S207" s="28"/>
      <c r="T207" s="20">
        <f t="shared" ca="1" si="40"/>
        <v>0</v>
      </c>
      <c r="U207" s="20" t="str">
        <f t="shared" ca="1" si="41"/>
        <v>Green</v>
      </c>
      <c r="V207" s="38" t="s">
        <v>130</v>
      </c>
      <c r="W207" s="39"/>
      <c r="X207" s="39"/>
      <c r="Y207" s="40">
        <v>46233.453472222223</v>
      </c>
      <c r="Z207" s="38" t="s">
        <v>132</v>
      </c>
    </row>
    <row r="208" spans="1:26" ht="21" customHeight="1">
      <c r="A208" s="38"/>
      <c r="B208" s="20"/>
      <c r="C208" s="20"/>
      <c r="D208" s="20" t="s">
        <v>112</v>
      </c>
      <c r="E208" s="38"/>
      <c r="F208" s="38"/>
      <c r="G208" s="20" t="str">
        <f>G202</f>
        <v>LOW</v>
      </c>
      <c r="H208" s="38" t="s">
        <v>131</v>
      </c>
      <c r="I208" s="20" t="str">
        <f>I202</f>
        <v>Developer 1</v>
      </c>
      <c r="J208" s="20"/>
      <c r="K208" s="20" t="s">
        <v>135</v>
      </c>
      <c r="L208" s="20"/>
      <c r="M208" s="20"/>
      <c r="N208" s="27" t="s">
        <v>11</v>
      </c>
      <c r="O208" s="21">
        <f t="shared" si="39"/>
        <v>0</v>
      </c>
      <c r="P208" s="22">
        <f>Q207+1+2*INT((WEEKDAY(Q207,1)-1+1)/5)</f>
        <v>46433</v>
      </c>
      <c r="Q208" s="22">
        <f>P208+(Settings!$B$12)-1+2*INT((WEEKDAY(P208,1)-1+(Settings!$B$12)-1)/5)</f>
        <v>46433</v>
      </c>
      <c r="R208" s="28"/>
      <c r="S208" s="28"/>
      <c r="T208" s="20">
        <f t="shared" ca="1" si="40"/>
        <v>0</v>
      </c>
      <c r="U208" s="20" t="str">
        <f t="shared" ca="1" si="41"/>
        <v>Green</v>
      </c>
      <c r="V208" s="38" t="s">
        <v>130</v>
      </c>
      <c r="W208" s="39"/>
      <c r="X208" s="39"/>
      <c r="Y208" s="40">
        <v>46233.453472222223</v>
      </c>
      <c r="Z208" s="38" t="s">
        <v>132</v>
      </c>
    </row>
    <row r="209" spans="1:26" ht="21" customHeight="1">
      <c r="A209" s="17" t="s">
        <v>164</v>
      </c>
      <c r="B209" s="17" t="s">
        <v>48</v>
      </c>
      <c r="C209" s="17"/>
      <c r="D209" s="17" t="s">
        <v>10</v>
      </c>
      <c r="E209" s="35"/>
      <c r="F209" s="35"/>
      <c r="G209" s="17" t="str">
        <f>'Process Summary'!B32</f>
        <v>LOW</v>
      </c>
      <c r="H209" s="35" t="s">
        <v>131</v>
      </c>
      <c r="I209" s="17" t="str">
        <f>'Process Summary'!C32</f>
        <v>Developer 2</v>
      </c>
      <c r="J209" s="17"/>
      <c r="K209" s="17"/>
      <c r="L209" s="17"/>
      <c r="M209" s="17"/>
      <c r="N209" s="17" t="str">
        <f>IF(O209=100%,"Completed",IF(N210="On Hold","On Hold",IF(N211="On Hold","On Hold",IF(N212="On Hold","On Hold",IF(N213="On Hold","On Hold",IF(N214="On Hold","On Hold",IF(N215="On Hold","On Hold",IF(O209&gt;0%,"In Progress","Not Started"))))))))</f>
        <v>Not Started</v>
      </c>
      <c r="O209" s="18">
        <f>(O210*3+O211*5+O212+O213*IF(G209="LOW",13,IF(G209="MEDIUM",23,33))+O214*2+O215)/(12+IF(G209="LOW",13,IF(G209="MEDIUM",23,33)))</f>
        <v>0</v>
      </c>
      <c r="P209" s="19">
        <f>'Process Summary'!G32</f>
        <v>46441</v>
      </c>
      <c r="Q209" s="19">
        <f>Q215</f>
        <v>46469</v>
      </c>
      <c r="R209" s="19" t="str">
        <f>IF(COUNT(R210:R215)=0,"",MIN(R210:R215))</f>
        <v/>
      </c>
      <c r="S209" s="19" t="str">
        <f>IF(COUNT(S210:S215)=0,"",MAX(S210:S215))</f>
        <v/>
      </c>
      <c r="T209" s="17">
        <f t="shared" ca="1" si="40"/>
        <v>0</v>
      </c>
      <c r="U209" s="17" t="str">
        <f t="shared" ca="1" si="41"/>
        <v>Green</v>
      </c>
      <c r="V209" s="35" t="s">
        <v>130</v>
      </c>
      <c r="W209" s="36"/>
      <c r="X209" s="36"/>
      <c r="Y209" s="37">
        <v>46233.453472222223</v>
      </c>
      <c r="Z209" s="35" t="s">
        <v>132</v>
      </c>
    </row>
    <row r="210" spans="1:26" ht="21" customHeight="1">
      <c r="A210" s="38"/>
      <c r="B210" s="20"/>
      <c r="C210" s="20"/>
      <c r="D210" s="20" t="s">
        <v>107</v>
      </c>
      <c r="E210" s="38"/>
      <c r="F210" s="38"/>
      <c r="G210" s="20" t="str">
        <f>G209</f>
        <v>LOW</v>
      </c>
      <c r="H210" s="38" t="s">
        <v>131</v>
      </c>
      <c r="I210" s="20" t="str">
        <f>I209</f>
        <v>Developer 2</v>
      </c>
      <c r="J210" s="20"/>
      <c r="K210" s="20" t="s">
        <v>133</v>
      </c>
      <c r="L210" s="20"/>
      <c r="M210" s="20"/>
      <c r="N210" s="27" t="s">
        <v>11</v>
      </c>
      <c r="O210" s="21">
        <f t="shared" ref="O210:O215" si="42">IF(N210="Completed",100%,IF(OR(N210="In Progress",N210="On Hold"),50%,0%))</f>
        <v>0</v>
      </c>
      <c r="P210" s="22">
        <f>P209</f>
        <v>46441</v>
      </c>
      <c r="Q210" s="22">
        <f>P210+(Settings!$B$5)-1+2*INT((WEEKDAY(P210,1)-1+(Settings!$B$5)-1)/5)</f>
        <v>46443</v>
      </c>
      <c r="R210" s="28"/>
      <c r="S210" s="28"/>
      <c r="T210" s="20">
        <f t="shared" ca="1" si="40"/>
        <v>0</v>
      </c>
      <c r="U210" s="20" t="str">
        <f t="shared" ca="1" si="41"/>
        <v>Green</v>
      </c>
      <c r="V210" s="38" t="s">
        <v>130</v>
      </c>
      <c r="W210" s="39"/>
      <c r="X210" s="39"/>
      <c r="Y210" s="40">
        <v>46233.453472222223</v>
      </c>
      <c r="Z210" s="38" t="s">
        <v>132</v>
      </c>
    </row>
    <row r="211" spans="1:26" ht="21" customHeight="1">
      <c r="A211" s="38"/>
      <c r="B211" s="20"/>
      <c r="C211" s="20"/>
      <c r="D211" s="20" t="s">
        <v>108</v>
      </c>
      <c r="E211" s="38"/>
      <c r="F211" s="38"/>
      <c r="G211" s="20" t="str">
        <f>G209</f>
        <v>LOW</v>
      </c>
      <c r="H211" s="38" t="s">
        <v>131</v>
      </c>
      <c r="I211" s="20" t="str">
        <f>I209</f>
        <v>Developer 2</v>
      </c>
      <c r="J211" s="20"/>
      <c r="K211" s="20" t="s">
        <v>133</v>
      </c>
      <c r="L211" s="20"/>
      <c r="M211" s="20"/>
      <c r="N211" s="27" t="s">
        <v>11</v>
      </c>
      <c r="O211" s="21">
        <f t="shared" si="42"/>
        <v>0</v>
      </c>
      <c r="P211" s="22">
        <f>Q210+1+2*INT((WEEKDAY(Q210,1)-1+1)/5)</f>
        <v>46446</v>
      </c>
      <c r="Q211" s="22">
        <f>P211+(Settings!$B$6)-1+2*INT((WEEKDAY(P211,1)-1+(Settings!$B$6)-1)/5)</f>
        <v>46450</v>
      </c>
      <c r="R211" s="28"/>
      <c r="S211" s="28"/>
      <c r="T211" s="20">
        <f t="shared" ca="1" si="40"/>
        <v>0</v>
      </c>
      <c r="U211" s="20" t="str">
        <f t="shared" ca="1" si="41"/>
        <v>Green</v>
      </c>
      <c r="V211" s="38" t="s">
        <v>130</v>
      </c>
      <c r="W211" s="39"/>
      <c r="X211" s="39"/>
      <c r="Y211" s="40">
        <v>46233.453472222223</v>
      </c>
      <c r="Z211" s="38" t="s">
        <v>132</v>
      </c>
    </row>
    <row r="212" spans="1:26" ht="21" customHeight="1">
      <c r="A212" s="38"/>
      <c r="B212" s="20"/>
      <c r="C212" s="20"/>
      <c r="D212" s="20" t="s">
        <v>109</v>
      </c>
      <c r="E212" s="38"/>
      <c r="F212" s="38"/>
      <c r="G212" s="20" t="str">
        <f>G209</f>
        <v>LOW</v>
      </c>
      <c r="H212" s="38" t="s">
        <v>131</v>
      </c>
      <c r="I212" s="20" t="str">
        <f>I209</f>
        <v>Developer 2</v>
      </c>
      <c r="J212" s="20"/>
      <c r="K212" s="20" t="s">
        <v>134</v>
      </c>
      <c r="L212" s="20"/>
      <c r="M212" s="23"/>
      <c r="N212" s="27" t="s">
        <v>11</v>
      </c>
      <c r="O212" s="21">
        <f t="shared" si="42"/>
        <v>0</v>
      </c>
      <c r="P212" s="22">
        <f>Q211+1+2*INT((WEEKDAY(Q211,1)-1+1)/5)</f>
        <v>46453</v>
      </c>
      <c r="Q212" s="22">
        <f>P212+(Settings!$B$7)-1+2*INT((WEEKDAY(P212,1)-1+(Settings!$B$7)-1)/5)</f>
        <v>46453</v>
      </c>
      <c r="R212" s="28"/>
      <c r="S212" s="28"/>
      <c r="T212" s="20">
        <f t="shared" ca="1" si="40"/>
        <v>0</v>
      </c>
      <c r="U212" s="20" t="str">
        <f t="shared" ca="1" si="41"/>
        <v>Green</v>
      </c>
      <c r="V212" s="38" t="s">
        <v>130</v>
      </c>
      <c r="W212" s="39"/>
      <c r="X212" s="39"/>
      <c r="Y212" s="40">
        <v>46233.453472222223</v>
      </c>
      <c r="Z212" s="38" t="s">
        <v>132</v>
      </c>
    </row>
    <row r="213" spans="1:26" ht="21" customHeight="1">
      <c r="A213" s="38"/>
      <c r="B213" s="20"/>
      <c r="C213" s="20"/>
      <c r="D213" s="20" t="s">
        <v>110</v>
      </c>
      <c r="E213" s="38"/>
      <c r="F213" s="38"/>
      <c r="G213" s="20" t="str">
        <f>G209</f>
        <v>LOW</v>
      </c>
      <c r="H213" s="38" t="s">
        <v>131</v>
      </c>
      <c r="I213" s="20" t="str">
        <f>I209</f>
        <v>Developer 2</v>
      </c>
      <c r="J213" s="20"/>
      <c r="K213" s="20" t="s">
        <v>135</v>
      </c>
      <c r="L213" s="20"/>
      <c r="M213" s="20"/>
      <c r="N213" s="27" t="s">
        <v>11</v>
      </c>
      <c r="O213" s="21">
        <f t="shared" si="42"/>
        <v>0</v>
      </c>
      <c r="P213" s="22">
        <f>Q212+1+2*INT((WEEKDAY(Q212,1)-1+1)/5)</f>
        <v>46454</v>
      </c>
      <c r="Q213" s="22">
        <f>P213+(IF(G213="LOW",Settings!$B$8,IF(G213="MEDIUM",Settings!$B$9,Settings!$B$10)))-1+2*INT((WEEKDAY(P213,1)-1+(IF(G213="LOW",Settings!$B$8,IF(G213="MEDIUM",Settings!$B$9,Settings!$B$10)))-1)/5)</f>
        <v>46467</v>
      </c>
      <c r="R213" s="28"/>
      <c r="S213" s="28"/>
      <c r="T213" s="20">
        <f t="shared" ca="1" si="40"/>
        <v>0</v>
      </c>
      <c r="U213" s="20" t="str">
        <f t="shared" ca="1" si="41"/>
        <v>Green</v>
      </c>
      <c r="V213" s="38" t="s">
        <v>130</v>
      </c>
      <c r="W213" s="39"/>
      <c r="X213" s="39"/>
      <c r="Y213" s="40">
        <v>46233.453472222223</v>
      </c>
      <c r="Z213" s="38" t="s">
        <v>132</v>
      </c>
    </row>
    <row r="214" spans="1:26" ht="21" customHeight="1">
      <c r="A214" s="38"/>
      <c r="B214" s="20"/>
      <c r="C214" s="20"/>
      <c r="D214" s="20" t="s">
        <v>111</v>
      </c>
      <c r="E214" s="38"/>
      <c r="F214" s="38"/>
      <c r="G214" s="20" t="str">
        <f>G209</f>
        <v>LOW</v>
      </c>
      <c r="H214" s="38" t="s">
        <v>131</v>
      </c>
      <c r="I214" s="20" t="str">
        <f>I209</f>
        <v>Developer 2</v>
      </c>
      <c r="J214" s="20"/>
      <c r="K214" s="20" t="s">
        <v>136</v>
      </c>
      <c r="L214" s="20"/>
      <c r="M214" s="20"/>
      <c r="N214" s="27" t="s">
        <v>11</v>
      </c>
      <c r="O214" s="21">
        <f t="shared" si="42"/>
        <v>0</v>
      </c>
      <c r="P214" s="22">
        <f>Q213+1+2*INT((WEEKDAY(Q213,1)-1+1)/5)</f>
        <v>46468</v>
      </c>
      <c r="Q214" s="22">
        <f>P214+(Settings!$B$11)-1+2*INT((WEEKDAY(P214,1)-1+(Settings!$B$11)-1)/5)</f>
        <v>46468</v>
      </c>
      <c r="R214" s="28"/>
      <c r="S214" s="28"/>
      <c r="T214" s="20">
        <f t="shared" ca="1" si="40"/>
        <v>0</v>
      </c>
      <c r="U214" s="20" t="str">
        <f t="shared" ca="1" si="41"/>
        <v>Green</v>
      </c>
      <c r="V214" s="38" t="s">
        <v>130</v>
      </c>
      <c r="W214" s="39"/>
      <c r="X214" s="39"/>
      <c r="Y214" s="40">
        <v>46233.453472222223</v>
      </c>
      <c r="Z214" s="38" t="s">
        <v>132</v>
      </c>
    </row>
    <row r="215" spans="1:26" ht="21" customHeight="1">
      <c r="A215" s="38"/>
      <c r="B215" s="20"/>
      <c r="C215" s="20"/>
      <c r="D215" s="20" t="s">
        <v>112</v>
      </c>
      <c r="E215" s="38"/>
      <c r="F215" s="38"/>
      <c r="G215" s="20" t="str">
        <f>G209</f>
        <v>LOW</v>
      </c>
      <c r="H215" s="38" t="s">
        <v>131</v>
      </c>
      <c r="I215" s="20" t="str">
        <f>I209</f>
        <v>Developer 2</v>
      </c>
      <c r="J215" s="20"/>
      <c r="K215" s="20" t="s">
        <v>135</v>
      </c>
      <c r="L215" s="20"/>
      <c r="M215" s="20"/>
      <c r="N215" s="27" t="s">
        <v>11</v>
      </c>
      <c r="O215" s="21">
        <f t="shared" si="42"/>
        <v>0</v>
      </c>
      <c r="P215" s="22">
        <f>Q214+1+2*INT((WEEKDAY(Q214,1)-1+1)/5)</f>
        <v>46469</v>
      </c>
      <c r="Q215" s="22">
        <f>P215+(Settings!$B$12)-1+2*INT((WEEKDAY(P215,1)-1+(Settings!$B$12)-1)/5)</f>
        <v>46469</v>
      </c>
      <c r="R215" s="28"/>
      <c r="S215" s="28"/>
      <c r="T215" s="20">
        <f t="shared" ca="1" si="40"/>
        <v>0</v>
      </c>
      <c r="U215" s="20" t="str">
        <f t="shared" ca="1" si="41"/>
        <v>Green</v>
      </c>
      <c r="V215" s="38" t="s">
        <v>130</v>
      </c>
      <c r="W215" s="39"/>
      <c r="X215" s="39"/>
      <c r="Y215" s="40">
        <v>46233.453472222223</v>
      </c>
      <c r="Z215" s="38" t="s">
        <v>132</v>
      </c>
    </row>
    <row r="216" spans="1:26" ht="21" customHeight="1">
      <c r="A216" s="17" t="s">
        <v>165</v>
      </c>
      <c r="B216" s="17" t="s">
        <v>48</v>
      </c>
      <c r="C216" s="17"/>
      <c r="D216" s="17" t="s">
        <v>10</v>
      </c>
      <c r="E216" s="35"/>
      <c r="F216" s="35"/>
      <c r="G216" s="17" t="str">
        <f>'Process Summary'!B33</f>
        <v>LOW</v>
      </c>
      <c r="H216" s="35" t="s">
        <v>131</v>
      </c>
      <c r="I216" s="17" t="str">
        <f>'Process Summary'!C33</f>
        <v>Developer 3</v>
      </c>
      <c r="J216" s="17"/>
      <c r="K216" s="17"/>
      <c r="L216" s="17"/>
      <c r="M216" s="17"/>
      <c r="N216" s="17" t="str">
        <f>IF(O216=100%,"Completed",IF(N217="On Hold","On Hold",IF(N218="On Hold","On Hold",IF(N219="On Hold","On Hold",IF(N220="On Hold","On Hold",IF(N221="On Hold","On Hold",IF(N222="On Hold","On Hold",IF(O216&gt;0%,"In Progress","Not Started"))))))))</f>
        <v>Not Started</v>
      </c>
      <c r="O216" s="18">
        <f>(O217*3+O218*5+O219+O220*IF(G216="LOW",13,IF(G216="MEDIUM",23,33))+O221*2+O222)/(12+IF(G216="LOW",13,IF(G216="MEDIUM",23,33)))</f>
        <v>0</v>
      </c>
      <c r="P216" s="19">
        <f>'Process Summary'!G33</f>
        <v>46434</v>
      </c>
      <c r="Q216" s="19">
        <f>Q222</f>
        <v>46462</v>
      </c>
      <c r="R216" s="19" t="str">
        <f>IF(COUNT(R217:R222)=0,"",MIN(R217:R222))</f>
        <v/>
      </c>
      <c r="S216" s="19" t="str">
        <f>IF(COUNT(S217:S222)=0,"",MAX(S217:S222))</f>
        <v/>
      </c>
      <c r="T216" s="17">
        <f t="shared" ca="1" si="40"/>
        <v>0</v>
      </c>
      <c r="U216" s="17" t="str">
        <f t="shared" ca="1" si="41"/>
        <v>Green</v>
      </c>
      <c r="V216" s="35" t="s">
        <v>130</v>
      </c>
      <c r="W216" s="36"/>
      <c r="X216" s="36"/>
      <c r="Y216" s="37">
        <v>46233.453472222223</v>
      </c>
      <c r="Z216" s="35" t="s">
        <v>132</v>
      </c>
    </row>
    <row r="217" spans="1:26" ht="21" customHeight="1">
      <c r="A217" s="38"/>
      <c r="B217" s="20"/>
      <c r="C217" s="20"/>
      <c r="D217" s="20" t="s">
        <v>107</v>
      </c>
      <c r="E217" s="38"/>
      <c r="F217" s="38"/>
      <c r="G217" s="20" t="str">
        <f>G216</f>
        <v>LOW</v>
      </c>
      <c r="H217" s="38" t="s">
        <v>131</v>
      </c>
      <c r="I217" s="20" t="str">
        <f>I216</f>
        <v>Developer 3</v>
      </c>
      <c r="J217" s="20"/>
      <c r="K217" s="20" t="s">
        <v>133</v>
      </c>
      <c r="L217" s="20"/>
      <c r="M217" s="20"/>
      <c r="N217" s="27" t="s">
        <v>11</v>
      </c>
      <c r="O217" s="21">
        <f t="shared" ref="O217:O222" si="43">IF(N217="Completed",100%,IF(OR(N217="In Progress",N217="On Hold"),50%,0%))</f>
        <v>0</v>
      </c>
      <c r="P217" s="22">
        <f>P216</f>
        <v>46434</v>
      </c>
      <c r="Q217" s="22">
        <f>P217+(Settings!$B$5)-1+2*INT((WEEKDAY(P217,1)-1+(Settings!$B$5)-1)/5)</f>
        <v>46436</v>
      </c>
      <c r="R217" s="28"/>
      <c r="S217" s="28"/>
      <c r="T217" s="20">
        <f t="shared" ca="1" si="40"/>
        <v>0</v>
      </c>
      <c r="U217" s="20" t="str">
        <f t="shared" ca="1" si="41"/>
        <v>Green</v>
      </c>
      <c r="V217" s="38" t="s">
        <v>130</v>
      </c>
      <c r="W217" s="39"/>
      <c r="X217" s="39"/>
      <c r="Y217" s="40">
        <v>46233.453472222223</v>
      </c>
      <c r="Z217" s="38" t="s">
        <v>132</v>
      </c>
    </row>
    <row r="218" spans="1:26" ht="21" customHeight="1">
      <c r="A218" s="38"/>
      <c r="B218" s="20"/>
      <c r="C218" s="20"/>
      <c r="D218" s="20" t="s">
        <v>108</v>
      </c>
      <c r="E218" s="38"/>
      <c r="F218" s="38"/>
      <c r="G218" s="20" t="str">
        <f>G216</f>
        <v>LOW</v>
      </c>
      <c r="H218" s="38" t="s">
        <v>131</v>
      </c>
      <c r="I218" s="20" t="str">
        <f>I216</f>
        <v>Developer 3</v>
      </c>
      <c r="J218" s="20"/>
      <c r="K218" s="20" t="s">
        <v>133</v>
      </c>
      <c r="L218" s="20"/>
      <c r="M218" s="20"/>
      <c r="N218" s="27" t="s">
        <v>11</v>
      </c>
      <c r="O218" s="21">
        <f t="shared" si="43"/>
        <v>0</v>
      </c>
      <c r="P218" s="22">
        <f>Q217+1+2*INT((WEEKDAY(Q217,1)-1+1)/5)</f>
        <v>46439</v>
      </c>
      <c r="Q218" s="22">
        <f>P218+(Settings!$B$6)-1+2*INT((WEEKDAY(P218,1)-1+(Settings!$B$6)-1)/5)</f>
        <v>46443</v>
      </c>
      <c r="R218" s="28"/>
      <c r="S218" s="28"/>
      <c r="T218" s="20">
        <f t="shared" ca="1" si="40"/>
        <v>0</v>
      </c>
      <c r="U218" s="20" t="str">
        <f t="shared" ca="1" si="41"/>
        <v>Green</v>
      </c>
      <c r="V218" s="38" t="s">
        <v>130</v>
      </c>
      <c r="W218" s="39"/>
      <c r="X218" s="39"/>
      <c r="Y218" s="40">
        <v>46233.453472222223</v>
      </c>
      <c r="Z218" s="38" t="s">
        <v>132</v>
      </c>
    </row>
    <row r="219" spans="1:26" ht="21" customHeight="1">
      <c r="A219" s="38"/>
      <c r="B219" s="20"/>
      <c r="C219" s="20"/>
      <c r="D219" s="20" t="s">
        <v>109</v>
      </c>
      <c r="E219" s="38"/>
      <c r="F219" s="38"/>
      <c r="G219" s="20" t="str">
        <f>G216</f>
        <v>LOW</v>
      </c>
      <c r="H219" s="38" t="s">
        <v>131</v>
      </c>
      <c r="I219" s="20" t="str">
        <f>I216</f>
        <v>Developer 3</v>
      </c>
      <c r="J219" s="20"/>
      <c r="K219" s="20" t="s">
        <v>134</v>
      </c>
      <c r="L219" s="20"/>
      <c r="M219" s="23"/>
      <c r="N219" s="27" t="s">
        <v>11</v>
      </c>
      <c r="O219" s="21">
        <f t="shared" si="43"/>
        <v>0</v>
      </c>
      <c r="P219" s="22">
        <f>Q218+1+2*INT((WEEKDAY(Q218,1)-1+1)/5)</f>
        <v>46446</v>
      </c>
      <c r="Q219" s="22">
        <f>P219+(Settings!$B$7)-1+2*INT((WEEKDAY(P219,1)-1+(Settings!$B$7)-1)/5)</f>
        <v>46446</v>
      </c>
      <c r="R219" s="28"/>
      <c r="S219" s="28"/>
      <c r="T219" s="20">
        <f t="shared" ca="1" si="40"/>
        <v>0</v>
      </c>
      <c r="U219" s="20" t="str">
        <f t="shared" ca="1" si="41"/>
        <v>Green</v>
      </c>
      <c r="V219" s="38" t="s">
        <v>130</v>
      </c>
      <c r="W219" s="39"/>
      <c r="X219" s="39"/>
      <c r="Y219" s="40">
        <v>46233.453472222223</v>
      </c>
      <c r="Z219" s="38" t="s">
        <v>132</v>
      </c>
    </row>
    <row r="220" spans="1:26" ht="21" customHeight="1">
      <c r="A220" s="38"/>
      <c r="B220" s="20"/>
      <c r="C220" s="20"/>
      <c r="D220" s="20" t="s">
        <v>110</v>
      </c>
      <c r="E220" s="38"/>
      <c r="F220" s="38"/>
      <c r="G220" s="20" t="str">
        <f>G216</f>
        <v>LOW</v>
      </c>
      <c r="H220" s="38" t="s">
        <v>131</v>
      </c>
      <c r="I220" s="20" t="str">
        <f>I216</f>
        <v>Developer 3</v>
      </c>
      <c r="J220" s="20"/>
      <c r="K220" s="20" t="s">
        <v>135</v>
      </c>
      <c r="L220" s="20"/>
      <c r="M220" s="20"/>
      <c r="N220" s="27" t="s">
        <v>11</v>
      </c>
      <c r="O220" s="21">
        <f t="shared" si="43"/>
        <v>0</v>
      </c>
      <c r="P220" s="22">
        <f>Q219+1+2*INT((WEEKDAY(Q219,1)-1+1)/5)</f>
        <v>46447</v>
      </c>
      <c r="Q220" s="22">
        <f>P220+(IF(G220="LOW",Settings!$B$8,IF(G220="MEDIUM",Settings!$B$9,Settings!$B$10)))-1+2*INT((WEEKDAY(P220,1)-1+(IF(G220="LOW",Settings!$B$8,IF(G220="MEDIUM",Settings!$B$9,Settings!$B$10)))-1)/5)</f>
        <v>46460</v>
      </c>
      <c r="R220" s="28"/>
      <c r="S220" s="28"/>
      <c r="T220" s="20">
        <f t="shared" ca="1" si="40"/>
        <v>0</v>
      </c>
      <c r="U220" s="20" t="str">
        <f t="shared" ca="1" si="41"/>
        <v>Green</v>
      </c>
      <c r="V220" s="38" t="s">
        <v>130</v>
      </c>
      <c r="W220" s="39"/>
      <c r="X220" s="39"/>
      <c r="Y220" s="40">
        <v>46233.453472222223</v>
      </c>
      <c r="Z220" s="38" t="s">
        <v>132</v>
      </c>
    </row>
    <row r="221" spans="1:26" ht="21" customHeight="1">
      <c r="A221" s="38"/>
      <c r="B221" s="20"/>
      <c r="C221" s="20"/>
      <c r="D221" s="20" t="s">
        <v>111</v>
      </c>
      <c r="E221" s="38"/>
      <c r="F221" s="38"/>
      <c r="G221" s="20" t="str">
        <f>G216</f>
        <v>LOW</v>
      </c>
      <c r="H221" s="38" t="s">
        <v>131</v>
      </c>
      <c r="I221" s="20" t="str">
        <f>I216</f>
        <v>Developer 3</v>
      </c>
      <c r="J221" s="20"/>
      <c r="K221" s="20" t="s">
        <v>136</v>
      </c>
      <c r="L221" s="20"/>
      <c r="M221" s="20"/>
      <c r="N221" s="27" t="s">
        <v>11</v>
      </c>
      <c r="O221" s="21">
        <f t="shared" si="43"/>
        <v>0</v>
      </c>
      <c r="P221" s="22">
        <f>Q220+1+2*INT((WEEKDAY(Q220,1)-1+1)/5)</f>
        <v>46461</v>
      </c>
      <c r="Q221" s="22">
        <f>P221+(Settings!$B$11)-1+2*INT((WEEKDAY(P221,1)-1+(Settings!$B$11)-1)/5)</f>
        <v>46461</v>
      </c>
      <c r="R221" s="28"/>
      <c r="S221" s="28"/>
      <c r="T221" s="20">
        <f t="shared" ca="1" si="40"/>
        <v>0</v>
      </c>
      <c r="U221" s="20" t="str">
        <f t="shared" ca="1" si="41"/>
        <v>Green</v>
      </c>
      <c r="V221" s="38" t="s">
        <v>130</v>
      </c>
      <c r="W221" s="39"/>
      <c r="X221" s="39"/>
      <c r="Y221" s="40">
        <v>46233.453472222223</v>
      </c>
      <c r="Z221" s="38" t="s">
        <v>132</v>
      </c>
    </row>
    <row r="222" spans="1:26" ht="21" customHeight="1">
      <c r="A222" s="38"/>
      <c r="B222" s="20"/>
      <c r="C222" s="20"/>
      <c r="D222" s="20" t="s">
        <v>112</v>
      </c>
      <c r="E222" s="38"/>
      <c r="F222" s="38"/>
      <c r="G222" s="20" t="str">
        <f>G216</f>
        <v>LOW</v>
      </c>
      <c r="H222" s="38" t="s">
        <v>131</v>
      </c>
      <c r="I222" s="20" t="str">
        <f>I216</f>
        <v>Developer 3</v>
      </c>
      <c r="J222" s="20"/>
      <c r="K222" s="20" t="s">
        <v>135</v>
      </c>
      <c r="L222" s="20"/>
      <c r="M222" s="20"/>
      <c r="N222" s="27" t="s">
        <v>11</v>
      </c>
      <c r="O222" s="21">
        <f t="shared" si="43"/>
        <v>0</v>
      </c>
      <c r="P222" s="22">
        <f>Q221+1+2*INT((WEEKDAY(Q221,1)-1+1)/5)</f>
        <v>46462</v>
      </c>
      <c r="Q222" s="22">
        <f>P222+(Settings!$B$12)-1+2*INT((WEEKDAY(P222,1)-1+(Settings!$B$12)-1)/5)</f>
        <v>46462</v>
      </c>
      <c r="R222" s="28"/>
      <c r="S222" s="28"/>
      <c r="T222" s="20">
        <f t="shared" ca="1" si="40"/>
        <v>0</v>
      </c>
      <c r="U222" s="20" t="str">
        <f t="shared" ca="1" si="41"/>
        <v>Green</v>
      </c>
      <c r="V222" s="38" t="s">
        <v>130</v>
      </c>
      <c r="W222" s="39"/>
      <c r="X222" s="39"/>
      <c r="Y222" s="40">
        <v>46233.453472222223</v>
      </c>
      <c r="Z222" s="38" t="s">
        <v>132</v>
      </c>
    </row>
  </sheetData>
  <autoFilter ref="A12:Z222" xr:uid="{00000000-0001-0000-0000-000000000000}"/>
  <conditionalFormatting sqref="H5:H6 H3 H8:H11">
    <cfRule type="dataBar" priority="43">
      <dataBar>
        <cfvo type="min"/>
        <cfvo type="max"/>
        <color rgb="FF5B9BD5"/>
      </dataBar>
    </cfRule>
    <cfRule type="dataBar" priority="4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{EE540B03-4C84-4AD4-A414-502E5F8EF2F5}</x14:id>
        </ext>
      </extLst>
    </cfRule>
  </conditionalFormatting>
  <conditionalFormatting sqref="O2:O7">
    <cfRule type="dataBar" priority="21">
      <dataBar>
        <cfvo type="min"/>
        <cfvo type="max"/>
        <color rgb="FF5B9BD5"/>
      </dataBar>
    </cfRule>
    <cfRule type="dataBar" priority="2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{75CBFE49-CFA1-42D4-81EE-DB4D77576ECC}</x14:id>
        </ext>
      </extLst>
    </cfRule>
  </conditionalFormatting>
  <conditionalFormatting sqref="O8:O11">
    <cfRule type="dataBar" priority="19">
      <dataBar>
        <cfvo type="min"/>
        <cfvo type="max"/>
        <color rgb="FF5B9BD5"/>
      </dataBar>
    </cfRule>
    <cfRule type="dataBar" priority="2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{FDC3C4D6-C3B7-478C-BC1B-E1209A787549}</x14:id>
        </ext>
      </extLst>
    </cfRule>
  </conditionalFormatting>
  <conditionalFormatting sqref="O13:O222">
    <cfRule type="dataBar" priority="37">
      <dataBar>
        <cfvo type="min"/>
        <cfvo type="max"/>
        <color rgb="FF5B9BD5"/>
      </dataBar>
    </cfRule>
    <cfRule type="dataBar" priority="4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{73E018B9-FBA2-E2AC-A97F-27FB3755968D}</x14:id>
        </ext>
      </extLst>
    </cfRule>
  </conditionalFormatting>
  <conditionalFormatting sqref="U2:U11">
    <cfRule type="expression" dxfId="7" priority="1">
      <formula>U2="Green"</formula>
    </cfRule>
    <cfRule type="expression" dxfId="6" priority="2">
      <formula>U2="Amber"</formula>
    </cfRule>
    <cfRule type="expression" dxfId="5" priority="3">
      <formula>U2="Red"</formula>
    </cfRule>
    <cfRule type="expression" dxfId="4" priority="4">
      <formula>U2="Gray"</formula>
    </cfRule>
  </conditionalFormatting>
  <conditionalFormatting sqref="U13:U222">
    <cfRule type="expression" dxfId="3" priority="38">
      <formula>U13="Green"</formula>
    </cfRule>
    <cfRule type="expression" dxfId="2" priority="39">
      <formula>U13="Amber"</formula>
    </cfRule>
    <cfRule type="expression" dxfId="1" priority="40">
      <formula>U13="Red"</formula>
    </cfRule>
    <cfRule type="expression" dxfId="0" priority="41">
      <formula>U13="Gray"</formula>
    </cfRule>
  </conditionalFormatting>
  <dataValidations count="5">
    <dataValidation type="list" sqref="N13:N222 G3 G5:G11 N2:N6 N8:N11" xr:uid="{00000000-0002-0000-0000-000000000000}">
      <formula1>"Not Started,In Progress,On Hold,Completed,Cancelled"</formula1>
    </dataValidation>
    <dataValidation type="list" allowBlank="1" sqref="Z13:Z222" xr:uid="{2D62D783-F530-42BA-B632-A529B3310D65}">
      <formula1>UpdatedByList</formula1>
    </dataValidation>
    <dataValidation type="list" allowBlank="1" sqref="E13:E222" xr:uid="{B6C6A950-0D3D-4161-8C79-4A0A19837FF0}">
      <formula1>DepartmentList</formula1>
    </dataValidation>
    <dataValidation type="list" allowBlank="1" sqref="H13:I222" xr:uid="{8B46247E-F668-48CD-97B9-52743F27E750}">
      <formula1>PriorityList</formula1>
    </dataValidation>
    <dataValidation type="list" allowBlank="1" sqref="V13:V222 V2:V11" xr:uid="{C2F53EC1-9608-4CCE-A0C7-693D85AA81E7}">
      <formula1>BlockedList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540B03-4C84-4AD4-A414-502E5F8EF2F5}">
            <x14:dataBar>
              <x14:cfvo type="min"/>
              <x14:cfvo type="max"/>
              <x14:negativeFillColor auto="1"/>
              <x14:axisColor auto="1"/>
            </x14:dataBar>
          </x14:cfRule>
          <xm:sqref>H5:H6 H3 H8:H11</xm:sqref>
        </x14:conditionalFormatting>
        <x14:conditionalFormatting xmlns:xm="http://schemas.microsoft.com/office/excel/2006/main">
          <x14:cfRule type="dataBar" id="{75CBFE49-CFA1-42D4-81EE-DB4D77576ECC}">
            <x14:dataBar>
              <x14:cfvo type="min"/>
              <x14:cfvo type="max"/>
              <x14:negativeFillColor auto="1"/>
              <x14:axisColor auto="1"/>
            </x14:dataBar>
          </x14:cfRule>
          <xm:sqref>O2:O7</xm:sqref>
        </x14:conditionalFormatting>
        <x14:conditionalFormatting xmlns:xm="http://schemas.microsoft.com/office/excel/2006/main">
          <x14:cfRule type="dataBar" id="{FDC3C4D6-C3B7-478C-BC1B-E1209A787549}">
            <x14:dataBar>
              <x14:cfvo type="min"/>
              <x14:cfvo type="max"/>
              <x14:negativeFillColor auto="1"/>
              <x14:axisColor auto="1"/>
            </x14:dataBar>
          </x14:cfRule>
          <xm:sqref>O8:O11</xm:sqref>
        </x14:conditionalFormatting>
        <x14:conditionalFormatting xmlns:xm="http://schemas.microsoft.com/office/excel/2006/main">
          <x14:cfRule type="dataBar" id="{73E018B9-FBA2-E2AC-A97F-27FB3755968D}">
            <x14:dataBar>
              <x14:cfvo type="min"/>
              <x14:cfvo type="max"/>
              <x14:negativeFillColor auto="1"/>
              <x14:axisColor auto="1"/>
            </x14:dataBar>
          </x14:cfRule>
          <xm:sqref>O13:O222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Settings!$D$4:$D$8</xm:f>
          </x14:formula1>
          <xm:sqref>N14:N19 N217:N222 N210:N215 N203:N208 N196:N201 N189:N194 N182:N187 N175:N180 N168:N173 N161:N166 N154:N159 N147:N152 N140:N145 N133:N138 N126:N131 N119:N124 N112:N117 N105:N110 N98:N103 N91:N96 N84:N89 N77:N82 N70:N75 N63:N68 N56:N61 N49:N54 N42:N47 N35:N40 N28:N33 N21:N26 G3 G5:G11 N3:N6 N8:N11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workbookViewId="0">
      <selection activeCell="C9" sqref="C9"/>
    </sheetView>
  </sheetViews>
  <sheetFormatPr defaultRowHeight="14"/>
  <cols>
    <col min="1" max="8" width="22" customWidth="1"/>
  </cols>
  <sheetData>
    <row r="1" spans="1:8" ht="20">
      <c r="A1" s="108" t="s">
        <v>41</v>
      </c>
      <c r="B1" s="108"/>
      <c r="C1" s="108"/>
      <c r="D1" s="108"/>
    </row>
    <row r="3" spans="1:8">
      <c r="A3" s="1" t="s">
        <v>42</v>
      </c>
      <c r="B3" s="1" t="s">
        <v>43</v>
      </c>
      <c r="D3" s="1" t="s">
        <v>44</v>
      </c>
      <c r="F3" s="1" t="s">
        <v>45</v>
      </c>
      <c r="H3" s="1" t="s">
        <v>1</v>
      </c>
    </row>
    <row r="4" spans="1:8">
      <c r="A4" t="s">
        <v>46</v>
      </c>
      <c r="B4" s="2">
        <v>46187</v>
      </c>
      <c r="D4" t="s">
        <v>11</v>
      </c>
      <c r="F4" t="s">
        <v>47</v>
      </c>
      <c r="H4" t="s">
        <v>48</v>
      </c>
    </row>
    <row r="5" spans="1:8">
      <c r="A5" t="s">
        <v>49</v>
      </c>
      <c r="B5">
        <v>3</v>
      </c>
      <c r="D5" t="s">
        <v>50</v>
      </c>
      <c r="F5" t="s">
        <v>51</v>
      </c>
      <c r="H5" t="s">
        <v>52</v>
      </c>
    </row>
    <row r="6" spans="1:8">
      <c r="A6" t="s">
        <v>53</v>
      </c>
      <c r="B6">
        <v>5</v>
      </c>
      <c r="D6" t="s">
        <v>54</v>
      </c>
      <c r="F6" t="s">
        <v>55</v>
      </c>
      <c r="H6" t="s">
        <v>56</v>
      </c>
    </row>
    <row r="7" spans="1:8">
      <c r="A7" t="s">
        <v>57</v>
      </c>
      <c r="B7">
        <v>1</v>
      </c>
      <c r="D7" t="s">
        <v>58</v>
      </c>
      <c r="F7" t="s">
        <v>59</v>
      </c>
    </row>
    <row r="8" spans="1:8">
      <c r="A8" t="s">
        <v>60</v>
      </c>
      <c r="B8">
        <v>10</v>
      </c>
      <c r="D8" t="s">
        <v>61</v>
      </c>
    </row>
    <row r="9" spans="1:8">
      <c r="A9" t="s">
        <v>62</v>
      </c>
      <c r="B9">
        <v>15</v>
      </c>
    </row>
    <row r="10" spans="1:8">
      <c r="A10" t="s">
        <v>63</v>
      </c>
      <c r="B10">
        <v>20</v>
      </c>
    </row>
    <row r="11" spans="1:8">
      <c r="A11" t="s">
        <v>64</v>
      </c>
      <c r="B11">
        <v>1</v>
      </c>
    </row>
    <row r="12" spans="1:8">
      <c r="A12" t="s">
        <v>65</v>
      </c>
      <c r="B12">
        <v>1</v>
      </c>
    </row>
  </sheetData>
  <mergeCells count="1">
    <mergeCell ref="A1:D1"/>
  </mergeCells>
  <dataValidations count="1">
    <dataValidation type="list" sqref="B17" xr:uid="{00000000-0002-0000-0100-000000000000}">
      <formula1>"Not Started,In Progress,Completed"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Process Summary</vt:lpstr>
      <vt:lpstr>Project Tracker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Khalid Alharbi</cp:lastModifiedBy>
  <dcterms:created xsi:type="dcterms:W3CDTF">2026-07-29T13:46:46Z</dcterms:created>
  <dcterms:modified xsi:type="dcterms:W3CDTF">2026-07-30T11:49:06Z</dcterms:modified>
</cp:coreProperties>
</file>